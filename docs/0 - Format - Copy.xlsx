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 autoCompressPictures="0"/>
  <xr:revisionPtr revIDLastSave="1999" documentId="13_ncr:1_{D7EE0570-3633-4B57-91BD-47C92F8F4148}" xr6:coauthVersionLast="47" xr6:coauthVersionMax="47" xr10:uidLastSave="{94382842-B57E-4820-86EA-0DFF2EAD4E4C}"/>
  <bookViews>
    <workbookView xWindow="-108" yWindow="-108" windowWidth="23256" windowHeight="12456" tabRatio="694" activeTab="11" xr2:uid="{00000000-000D-0000-FFFF-FFFF00000000}"/>
  </bookViews>
  <sheets>
    <sheet name="Dr. Nacouzi" sheetId="50" r:id="rId1"/>
    <sheet name="Dr.Carol" sheetId="58" r:id="rId2"/>
    <sheet name="Rachelle" sheetId="56" r:id="rId3"/>
    <sheet name="Rewa" sheetId="57" r:id="rId4"/>
    <sheet name="Roula" sheetId="38" r:id="rId5"/>
    <sheet name="Nour" sheetId="47" r:id="rId6"/>
    <sheet name="Dr.Bahia" sheetId="54" r:id="rId7"/>
    <sheet name="Ghinwa" sheetId="53" r:id="rId8"/>
    <sheet name="Hayat" sheetId="59" r:id="rId9"/>
    <sheet name="Products" sheetId="52" r:id="rId10"/>
    <sheet name="Expenses" sheetId="60" r:id="rId11"/>
    <sheet name="TOTAL" sheetId="51" r:id="rId12"/>
  </sheets>
  <definedNames>
    <definedName name="dddd" localSheetId="0">#REF!</definedName>
    <definedName name="dddd" localSheetId="6">#REF!</definedName>
    <definedName name="dddd" localSheetId="5">#REF!</definedName>
    <definedName name="dddd">#REF!</definedName>
    <definedName name="eeeee" localSheetId="0">#REF!</definedName>
    <definedName name="eeeee" localSheetId="6">#REF!</definedName>
    <definedName name="eeeee" localSheetId="5">#REF!</definedName>
    <definedName name="eeeee">#REF!</definedName>
    <definedName name="ExtraCredit" localSheetId="0">#REF!</definedName>
    <definedName name="ExtraCredit" localSheetId="6">#REF!</definedName>
    <definedName name="ExtraCredit" localSheetId="5">#REF!</definedName>
    <definedName name="ExtraCredit">#REF!</definedName>
    <definedName name="fffff" localSheetId="0">#REF!</definedName>
    <definedName name="fffff" localSheetId="6">#REF!</definedName>
    <definedName name="fffff" localSheetId="5">#REF!</definedName>
    <definedName name="fffff">#REF!</definedName>
    <definedName name="Fruit" localSheetId="0">#REF!</definedName>
    <definedName name="Fruit" localSheetId="6">#REF!</definedName>
    <definedName name="Fruit" localSheetId="5">#REF!</definedName>
    <definedName name="Fruit">#REF!</definedName>
    <definedName name="hhhhh" localSheetId="0">#REF!</definedName>
    <definedName name="hhhhh" localSheetId="6">#REF!</definedName>
    <definedName name="hhhhh" localSheetId="5">#REF!</definedName>
    <definedName name="hhhhh">#REF!</definedName>
    <definedName name="Items" localSheetId="0">#REF!</definedName>
    <definedName name="Items" localSheetId="6">#REF!</definedName>
    <definedName name="Items" localSheetId="5">#REF!</definedName>
    <definedName name="Items">#REF!</definedName>
    <definedName name="jjj" localSheetId="0">#REF!</definedName>
    <definedName name="jjj" localSheetId="6">#REF!</definedName>
    <definedName name="jjj">#REF!</definedName>
    <definedName name="jjjjj" localSheetId="0">#REF!</definedName>
    <definedName name="jjjjj" localSheetId="6">#REF!</definedName>
    <definedName name="jjjjj" localSheetId="5">#REF!</definedName>
    <definedName name="jjjjj">#REF!</definedName>
    <definedName name="Meat" localSheetId="0">#REF!</definedName>
    <definedName name="Meat" localSheetId="6">#REF!</definedName>
    <definedName name="Meat" localSheetId="5">#REF!</definedName>
    <definedName name="Meat">#REF!</definedName>
    <definedName name="mmmmm" localSheetId="0">#REF!</definedName>
    <definedName name="mmmmm" localSheetId="6">#REF!</definedName>
    <definedName name="mmmmm">#REF!</definedName>
    <definedName name="MoreFruit" localSheetId="0">#REF!</definedName>
    <definedName name="MoreFruit" localSheetId="6">#REF!</definedName>
    <definedName name="MoreFruit" localSheetId="5">#REF!</definedName>
    <definedName name="MoreFruit">#REF!</definedName>
    <definedName name="MoreItem" localSheetId="0">#REF!</definedName>
    <definedName name="MoreItem" localSheetId="6">#REF!</definedName>
    <definedName name="MoreItem" localSheetId="5">#REF!</definedName>
    <definedName name="MoreItem">#REF!</definedName>
    <definedName name="MoreItems" localSheetId="0">#REF!</definedName>
    <definedName name="MoreItems" localSheetId="6">#REF!</definedName>
    <definedName name="MoreItems" localSheetId="5">#REF!</definedName>
    <definedName name="MoreItems">#REF!</definedName>
    <definedName name="Nisrinee" localSheetId="0">#REF!</definedName>
    <definedName name="Nisrinee" localSheetId="6">#REF!</definedName>
    <definedName name="Nisrinee" localSheetId="5">#REF!</definedName>
    <definedName name="Nisrinee">#REF!</definedName>
    <definedName name="ooo" localSheetId="0">#REF!</definedName>
    <definedName name="ooo" localSheetId="6">#REF!</definedName>
    <definedName name="ooo" localSheetId="5">#REF!</definedName>
    <definedName name="ooo">#REF!</definedName>
    <definedName name="SUMExtraCredit" localSheetId="0">#REF!</definedName>
    <definedName name="SUMExtraCredit" localSheetId="6">#REF!</definedName>
    <definedName name="SUMExtraCredit" localSheetId="5">#REF!</definedName>
    <definedName name="SUMExtraCredit">#REF!</definedName>
    <definedName name="SUMIF" localSheetId="0">#REF!</definedName>
    <definedName name="SUMIF" localSheetId="6">#REF!</definedName>
    <definedName name="SUMIF" localSheetId="5">#REF!</definedName>
    <definedName name="SUMIF">#REF!</definedName>
    <definedName name="SUMIFExtraCredit" localSheetId="0">#REF!</definedName>
    <definedName name="SUMIFExtraCredit" localSheetId="6">#REF!</definedName>
    <definedName name="SUMIFExtraCredit" localSheetId="5">#REF!</definedName>
    <definedName name="SUMIFExtraCredit">#REF!</definedName>
    <definedName name="Total" localSheetId="0">#REF!</definedName>
    <definedName name="Total" localSheetId="6">#REF!</definedName>
    <definedName name="Total" localSheetId="5">#REF!</definedName>
    <definedName name="Total">#REF!</definedName>
    <definedName name="wwwwww" localSheetId="0">#REF!</definedName>
    <definedName name="wwwwww" localSheetId="6">#REF!</definedName>
    <definedName name="wwwww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4" i="51" l="1"/>
  <c r="C19" i="60"/>
  <c r="J12" i="51" s="1"/>
  <c r="G7" i="59"/>
  <c r="G8" i="59"/>
  <c r="G9" i="59"/>
  <c r="G10" i="59"/>
  <c r="F17" i="59" l="1"/>
  <c r="E17" i="59"/>
  <c r="D10" i="51" s="1"/>
  <c r="D17" i="59"/>
  <c r="G16" i="59"/>
  <c r="H16" i="59" s="1"/>
  <c r="G15" i="59"/>
  <c r="H15" i="59" s="1"/>
  <c r="G14" i="59"/>
  <c r="H14" i="59" s="1"/>
  <c r="H13" i="59"/>
  <c r="G13" i="59"/>
  <c r="G12" i="59"/>
  <c r="H12" i="59" s="1"/>
  <c r="G11" i="59"/>
  <c r="H11" i="59" s="1"/>
  <c r="H10" i="59"/>
  <c r="H9" i="59"/>
  <c r="H8" i="59"/>
  <c r="H7" i="59"/>
  <c r="G6" i="59"/>
  <c r="G17" i="59" l="1"/>
  <c r="G18" i="59" s="1"/>
  <c r="H10" i="51" s="1"/>
  <c r="C10" i="51"/>
  <c r="D18" i="59"/>
  <c r="H6" i="59"/>
  <c r="H17" i="59" s="1"/>
  <c r="I10" i="51" l="1"/>
  <c r="I18" i="59"/>
  <c r="J10" i="51" s="1"/>
  <c r="G10" i="51"/>
  <c r="E13" i="51"/>
  <c r="H4" i="51"/>
  <c r="G7" i="47"/>
  <c r="H7" i="47" s="1"/>
  <c r="G8" i="47"/>
  <c r="H8" i="47" s="1"/>
  <c r="G9" i="47"/>
  <c r="H9" i="47" s="1"/>
  <c r="G10" i="47"/>
  <c r="G11" i="47"/>
  <c r="H11" i="47" s="1"/>
  <c r="G12" i="47"/>
  <c r="H12" i="47" s="1"/>
  <c r="G13" i="47"/>
  <c r="G14" i="47"/>
  <c r="G15" i="47"/>
  <c r="H15" i="47" s="1"/>
  <c r="G16" i="47"/>
  <c r="H16" i="47" s="1"/>
  <c r="G6" i="47"/>
  <c r="F17" i="47"/>
  <c r="E17" i="47"/>
  <c r="D17" i="47"/>
  <c r="H14" i="47"/>
  <c r="H13" i="47"/>
  <c r="H10" i="47"/>
  <c r="L19" i="52"/>
  <c r="K19" i="52"/>
  <c r="K20" i="52" s="1"/>
  <c r="E19" i="52"/>
  <c r="D19" i="52"/>
  <c r="D20" i="52" s="1"/>
  <c r="M18" i="52"/>
  <c r="N18" i="52" s="1"/>
  <c r="F18" i="52"/>
  <c r="G18" i="52" s="1"/>
  <c r="N17" i="52"/>
  <c r="M17" i="52"/>
  <c r="F17" i="52"/>
  <c r="G17" i="52" s="1"/>
  <c r="M16" i="52"/>
  <c r="N16" i="52" s="1"/>
  <c r="F16" i="52"/>
  <c r="G16" i="52" s="1"/>
  <c r="N15" i="52"/>
  <c r="M15" i="52"/>
  <c r="F15" i="52"/>
  <c r="G15" i="52" s="1"/>
  <c r="M14" i="52"/>
  <c r="N14" i="52" s="1"/>
  <c r="F14" i="52"/>
  <c r="G14" i="52" s="1"/>
  <c r="N13" i="52"/>
  <c r="M13" i="52"/>
  <c r="F13" i="52"/>
  <c r="G13" i="52" s="1"/>
  <c r="M12" i="52"/>
  <c r="N12" i="52" s="1"/>
  <c r="F12" i="52"/>
  <c r="G12" i="52" s="1"/>
  <c r="N11" i="52"/>
  <c r="M11" i="52"/>
  <c r="F11" i="52"/>
  <c r="G11" i="52" s="1"/>
  <c r="M10" i="52"/>
  <c r="N10" i="52" s="1"/>
  <c r="F10" i="52"/>
  <c r="G10" i="52" s="1"/>
  <c r="N9" i="52"/>
  <c r="M9" i="52"/>
  <c r="F9" i="52"/>
  <c r="G9" i="52" s="1"/>
  <c r="M8" i="52"/>
  <c r="N8" i="52" s="1"/>
  <c r="F8" i="52"/>
  <c r="G8" i="52" s="1"/>
  <c r="N7" i="52"/>
  <c r="M7" i="52"/>
  <c r="F7" i="52"/>
  <c r="G7" i="52" s="1"/>
  <c r="M6" i="52"/>
  <c r="N6" i="52" s="1"/>
  <c r="F6" i="52"/>
  <c r="F19" i="52" s="1"/>
  <c r="C16" i="51"/>
  <c r="D4" i="51"/>
  <c r="C3" i="51"/>
  <c r="D3" i="51"/>
  <c r="E3" i="51"/>
  <c r="G3" i="51" s="1"/>
  <c r="J3" i="51"/>
  <c r="I10" i="58"/>
  <c r="I11" i="58"/>
  <c r="I12" i="58"/>
  <c r="I13" i="58"/>
  <c r="I14" i="58"/>
  <c r="I15" i="58"/>
  <c r="I16" i="58"/>
  <c r="I17" i="58"/>
  <c r="I18" i="58"/>
  <c r="H8" i="58"/>
  <c r="I8" i="58" s="1"/>
  <c r="H9" i="58"/>
  <c r="I9" i="58" s="1"/>
  <c r="H10" i="58"/>
  <c r="H11" i="58"/>
  <c r="H12" i="58"/>
  <c r="H13" i="58"/>
  <c r="H14" i="58"/>
  <c r="H15" i="58"/>
  <c r="H16" i="58"/>
  <c r="H17" i="58"/>
  <c r="H18" i="58"/>
  <c r="H7" i="58"/>
  <c r="I7" i="58" s="1"/>
  <c r="G19" i="58"/>
  <c r="F19" i="58"/>
  <c r="E19" i="58"/>
  <c r="D19" i="58"/>
  <c r="H11" i="51"/>
  <c r="G7" i="57"/>
  <c r="G8" i="57"/>
  <c r="G9" i="57"/>
  <c r="G10" i="57"/>
  <c r="G11" i="57"/>
  <c r="G12" i="57"/>
  <c r="G13" i="57"/>
  <c r="G14" i="57"/>
  <c r="G15" i="57"/>
  <c r="G6" i="57"/>
  <c r="F16" i="57"/>
  <c r="E16" i="57"/>
  <c r="D6" i="51" s="1"/>
  <c r="D16" i="57"/>
  <c r="C6" i="51" s="1"/>
  <c r="D18" i="47" l="1"/>
  <c r="G17" i="47"/>
  <c r="F18" i="47" s="1"/>
  <c r="H7" i="51" s="1"/>
  <c r="H6" i="47"/>
  <c r="H17" i="47" s="1"/>
  <c r="N19" i="52"/>
  <c r="G6" i="52"/>
  <c r="G19" i="52" s="1"/>
  <c r="M19" i="52"/>
  <c r="E17" i="51"/>
  <c r="C17" i="51"/>
  <c r="E16" i="51"/>
  <c r="I19" i="58"/>
  <c r="I4" i="51" s="1"/>
  <c r="H19" i="58"/>
  <c r="H20" i="58" s="1"/>
  <c r="D20" i="58"/>
  <c r="D17" i="57"/>
  <c r="G17" i="57" s="1"/>
  <c r="G16" i="57"/>
  <c r="I6" i="51" s="1"/>
  <c r="J6" i="51" s="1"/>
  <c r="G7" i="53"/>
  <c r="H8" i="53"/>
  <c r="H9" i="53"/>
  <c r="H10" i="53"/>
  <c r="H11" i="53"/>
  <c r="H12" i="53"/>
  <c r="H13" i="53"/>
  <c r="H14" i="53"/>
  <c r="H15" i="53"/>
  <c r="H16" i="53"/>
  <c r="H17" i="53"/>
  <c r="H18" i="53"/>
  <c r="H19" i="53"/>
  <c r="H7" i="53"/>
  <c r="I8" i="54"/>
  <c r="I9" i="54"/>
  <c r="I10" i="54"/>
  <c r="I11" i="54"/>
  <c r="I12" i="54"/>
  <c r="I13" i="54"/>
  <c r="I14" i="54"/>
  <c r="I15" i="54"/>
  <c r="I16" i="54"/>
  <c r="I17" i="54"/>
  <c r="I18" i="54"/>
  <c r="I7" i="54"/>
  <c r="H7" i="38"/>
  <c r="H8" i="38"/>
  <c r="H9" i="38"/>
  <c r="H10" i="38"/>
  <c r="H11" i="38"/>
  <c r="H12" i="38"/>
  <c r="H13" i="38"/>
  <c r="H14" i="38"/>
  <c r="H15" i="38"/>
  <c r="H16" i="38"/>
  <c r="G7" i="38"/>
  <c r="G8" i="38"/>
  <c r="G9" i="38"/>
  <c r="G10" i="38"/>
  <c r="G11" i="38"/>
  <c r="G12" i="38"/>
  <c r="G13" i="38"/>
  <c r="G14" i="38"/>
  <c r="G15" i="38"/>
  <c r="G16" i="38"/>
  <c r="G6" i="38"/>
  <c r="H6" i="38" s="1"/>
  <c r="H18" i="47" l="1"/>
  <c r="J7" i="51" s="1"/>
  <c r="I7" i="51"/>
  <c r="I21" i="52"/>
  <c r="F5" i="51"/>
  <c r="H16" i="51"/>
  <c r="G21" i="53"/>
  <c r="H17" i="51"/>
  <c r="G4" i="51"/>
  <c r="E4" i="51"/>
  <c r="C4" i="51"/>
  <c r="J20" i="58"/>
  <c r="J4" i="51" s="1"/>
  <c r="E6" i="51"/>
  <c r="G6" i="51" s="1"/>
  <c r="E19" i="54"/>
  <c r="H8" i="54"/>
  <c r="H9" i="54"/>
  <c r="H10" i="54"/>
  <c r="H11" i="54"/>
  <c r="H12" i="54"/>
  <c r="H13" i="54"/>
  <c r="H14" i="54"/>
  <c r="H15" i="54"/>
  <c r="H16" i="54"/>
  <c r="H17" i="54"/>
  <c r="H18" i="54"/>
  <c r="H7" i="54"/>
  <c r="H8" i="56"/>
  <c r="H9" i="56"/>
  <c r="H10" i="56"/>
  <c r="H11" i="56"/>
  <c r="H12" i="56"/>
  <c r="H13" i="56"/>
  <c r="H14" i="56"/>
  <c r="H15" i="56"/>
  <c r="H16" i="56"/>
  <c r="H17" i="56"/>
  <c r="G8" i="56"/>
  <c r="G9" i="56"/>
  <c r="G10" i="56"/>
  <c r="G11" i="56"/>
  <c r="G12" i="56"/>
  <c r="G13" i="56"/>
  <c r="G14" i="56"/>
  <c r="G15" i="56"/>
  <c r="G16" i="56"/>
  <c r="G17" i="56"/>
  <c r="H7" i="56"/>
  <c r="G7" i="56"/>
  <c r="D11" i="51"/>
  <c r="F18" i="56"/>
  <c r="E18" i="56"/>
  <c r="D18" i="56"/>
  <c r="D19" i="56" s="1"/>
  <c r="E11" i="51" s="1"/>
  <c r="G8" i="53"/>
  <c r="G9" i="53"/>
  <c r="G10" i="53"/>
  <c r="G11" i="53"/>
  <c r="G12" i="53"/>
  <c r="G13" i="53"/>
  <c r="G14" i="53"/>
  <c r="G15" i="53"/>
  <c r="G16" i="53"/>
  <c r="G17" i="53"/>
  <c r="G18" i="53"/>
  <c r="G19" i="53"/>
  <c r="G19" i="54"/>
  <c r="F17" i="38"/>
  <c r="F19" i="54"/>
  <c r="D9" i="51" s="1"/>
  <c r="D19" i="54"/>
  <c r="F20" i="53"/>
  <c r="K13" i="51" l="1"/>
  <c r="K14" i="51"/>
  <c r="M7" i="51" s="1"/>
  <c r="I18" i="38"/>
  <c r="I5" i="51"/>
  <c r="I21" i="53"/>
  <c r="H8" i="51"/>
  <c r="G18" i="56"/>
  <c r="G19" i="56" s="1"/>
  <c r="G11" i="51"/>
  <c r="D20" i="54"/>
  <c r="E9" i="51" s="1"/>
  <c r="G9" i="51" s="1"/>
  <c r="H18" i="56"/>
  <c r="I11" i="51" s="1"/>
  <c r="C11" i="51"/>
  <c r="C9" i="51"/>
  <c r="H19" i="54"/>
  <c r="H20" i="54" s="1"/>
  <c r="I19" i="54"/>
  <c r="I9" i="51" s="1"/>
  <c r="I19" i="56" l="1"/>
  <c r="J11" i="51" s="1"/>
  <c r="H9" i="51"/>
  <c r="D17" i="38"/>
  <c r="D18" i="38" s="1"/>
  <c r="E17" i="38"/>
  <c r="D5" i="51" s="1"/>
  <c r="E20" i="53"/>
  <c r="D8" i="51" s="1"/>
  <c r="D20" i="53"/>
  <c r="D17" i="51"/>
  <c r="F8" i="51"/>
  <c r="D16" i="51"/>
  <c r="E19" i="50"/>
  <c r="D19" i="50"/>
  <c r="D7" i="51"/>
  <c r="C7" i="51"/>
  <c r="F7" i="50"/>
  <c r="F8" i="50"/>
  <c r="F9" i="50"/>
  <c r="F10" i="50"/>
  <c r="F11" i="50"/>
  <c r="F12" i="50"/>
  <c r="F13" i="50"/>
  <c r="F14" i="50"/>
  <c r="F15" i="50"/>
  <c r="F16" i="50"/>
  <c r="F17" i="50"/>
  <c r="F18" i="50"/>
  <c r="D13" i="51" l="1"/>
  <c r="E7" i="51"/>
  <c r="G7" i="51" s="1"/>
  <c r="J20" i="54"/>
  <c r="J9" i="51" s="1"/>
  <c r="C5" i="51"/>
  <c r="E5" i="51"/>
  <c r="G17" i="38"/>
  <c r="C8" i="51"/>
  <c r="D21" i="53"/>
  <c r="G20" i="53"/>
  <c r="H20" i="53"/>
  <c r="F6" i="50"/>
  <c r="F19" i="50" s="1"/>
  <c r="G18" i="38" l="1"/>
  <c r="H5" i="51" s="1"/>
  <c r="C13" i="51"/>
  <c r="F13" i="51"/>
  <c r="E8" i="51"/>
  <c r="G8" i="51" s="1"/>
  <c r="I17" i="51"/>
  <c r="I16" i="51"/>
  <c r="I8" i="51"/>
  <c r="H17" i="38"/>
  <c r="H13" i="51" l="1"/>
  <c r="J5" i="51"/>
  <c r="G5" i="51"/>
  <c r="G13" i="51" s="1"/>
  <c r="J8" i="51"/>
  <c r="I13" i="51" l="1"/>
</calcChain>
</file>

<file path=xl/sharedStrings.xml><?xml version="1.0" encoding="utf-8"?>
<sst xmlns="http://schemas.openxmlformats.org/spreadsheetml/2006/main" count="160" uniqueCount="65">
  <si>
    <t>SKIN THERAPY</t>
  </si>
  <si>
    <t xml:space="preserve">Patient </t>
  </si>
  <si>
    <t>Amount</t>
  </si>
  <si>
    <t>Service Description</t>
  </si>
  <si>
    <t>Discount</t>
  </si>
  <si>
    <t>Roula's Share</t>
  </si>
  <si>
    <t>Clinic's Share</t>
  </si>
  <si>
    <t>LASER HAIR REMOVAL</t>
  </si>
  <si>
    <t>Total</t>
  </si>
  <si>
    <t xml:space="preserve">Amount </t>
  </si>
  <si>
    <t>MEDICAL AESTHETIC</t>
  </si>
  <si>
    <t>TOTAL</t>
  </si>
  <si>
    <t>Product Description</t>
  </si>
  <si>
    <t>FACIAL PRODUCTS</t>
  </si>
  <si>
    <t>Ghinwa's Share</t>
  </si>
  <si>
    <t>Ghinwa</t>
  </si>
  <si>
    <t>Products Facial</t>
  </si>
  <si>
    <t>Products Nail</t>
  </si>
  <si>
    <t>Sub TOTAL</t>
  </si>
  <si>
    <t>Products</t>
  </si>
  <si>
    <t>Total to operator</t>
  </si>
  <si>
    <t>Total Gain</t>
  </si>
  <si>
    <t>Notes</t>
  </si>
  <si>
    <t>Facial</t>
  </si>
  <si>
    <t>Total Products clinic's Share</t>
  </si>
  <si>
    <t>TOTAL Gain</t>
  </si>
  <si>
    <t xml:space="preserve"> TOTAL</t>
  </si>
  <si>
    <t>Employee To be received</t>
  </si>
  <si>
    <t>Tips</t>
  </si>
  <si>
    <t>Nour</t>
  </si>
  <si>
    <t>Bahia's Share</t>
  </si>
  <si>
    <t>PHYSIOTHERAPY</t>
  </si>
  <si>
    <t>TOTAL To Roula</t>
  </si>
  <si>
    <t>NAIL PRODUCTS</t>
  </si>
  <si>
    <t>FDC</t>
  </si>
  <si>
    <t>FBC</t>
  </si>
  <si>
    <t>Total Received</t>
  </si>
  <si>
    <t>Total received /section</t>
  </si>
  <si>
    <t>Rachelle's Share</t>
  </si>
  <si>
    <t>Rachelle's section</t>
  </si>
  <si>
    <t>Rachelle</t>
  </si>
  <si>
    <t>Laser</t>
  </si>
  <si>
    <t>Physio</t>
  </si>
  <si>
    <t>Dr. Mansour</t>
  </si>
  <si>
    <t>Dr.Bahia-Berenice</t>
  </si>
  <si>
    <t>Clinic's Share Facial</t>
  </si>
  <si>
    <t>Roula's Share Facial</t>
  </si>
  <si>
    <t>Roula</t>
  </si>
  <si>
    <t>Consultation</t>
  </si>
  <si>
    <t>Chirurgie</t>
  </si>
  <si>
    <t>Carole's Share</t>
  </si>
  <si>
    <t>Dr.Carol</t>
  </si>
  <si>
    <t>Total to Doctor</t>
  </si>
  <si>
    <t>Nutrition</t>
  </si>
  <si>
    <t>Total to Nour</t>
  </si>
  <si>
    <t>Nutrition to Nour</t>
  </si>
  <si>
    <t>Hayat's Share</t>
  </si>
  <si>
    <t>Needle</t>
  </si>
  <si>
    <t>Hayat</t>
  </si>
  <si>
    <t>EPILATION ELECTRIQUE</t>
  </si>
  <si>
    <t>GYNECOLOGY</t>
  </si>
  <si>
    <t>MEDICAL PEDICURE</t>
  </si>
  <si>
    <t>Rewa</t>
  </si>
  <si>
    <t>Expenses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</si>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</sst>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$&quot;#,##0_);\(&quot;$&quot;#,##0\)"/>
    <numFmt numFmtId="165" formatCode="&quot;$&quot;#,##0_);[Red]\(&quot;$&quot;#,##0\)"/>
    <numFmt numFmtId="166" formatCode="yyyy;@"/>
    <numFmt numFmtId="167" formatCode="&quot;$&quot;#,##0.0_);\(&quot;$&quot;#,##0.0\)"/>
    <numFmt numFmtId="168" formatCode="[$$-409]#,##0.0"/>
    <numFmt numFmtId="169" formatCode="[$$-409]#,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2E9E61"/>
        <bgColor indexed="64"/>
      </patternFill>
    </fill>
    <fill>
      <patternFill patternType="solid">
        <fgColor rgb="FF33AF6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</fills>
  <borders count="78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3" borderId="0"/>
    <xf numFmtId="0" fontId="1" fillId="5" borderId="8"/>
    <xf numFmtId="0" fontId="1" fillId="3" borderId="1"/>
    <xf numFmtId="0" fontId="1" fillId="0" borderId="7"/>
    <xf numFmtId="164" fontId="1" fillId="0" borderId="0" applyFont="0" applyFill="0" applyBorder="0" applyAlignment="0" applyProtection="0"/>
    <xf numFmtId="0" fontId="3" fillId="0" borderId="0"/>
    <xf numFmtId="0" fontId="5" fillId="0" borderId="0" applyFill="0" applyBorder="0">
      <alignment wrapText="1"/>
    </xf>
    <xf numFmtId="0" fontId="6" fillId="6" borderId="0" applyNumberFormat="0" applyBorder="0" applyProtection="0">
      <alignment horizontal="left" indent="1"/>
    </xf>
    <xf numFmtId="0" fontId="7" fillId="6" borderId="0" applyNumberFormat="0" applyProtection="0">
      <alignment horizontal="left" wrapText="1" indent="4"/>
    </xf>
    <xf numFmtId="0" fontId="5" fillId="6" borderId="0" applyNumberFormat="0" applyProtection="0">
      <alignment horizontal="left" wrapText="1" indent="4"/>
    </xf>
    <xf numFmtId="0" fontId="3" fillId="2" borderId="0" applyNumberFormat="0" applyBorder="0" applyProtection="0"/>
    <xf numFmtId="0" fontId="4" fillId="0" borderId="0" applyNumberFormat="0" applyFill="0" applyBorder="0" applyAlignment="0" applyProtection="0"/>
    <xf numFmtId="0" fontId="1" fillId="0" borderId="9" applyNumberFormat="0" applyFont="0" applyFill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5" applyNumberFormat="0" applyFont="0" applyFill="0" applyAlignment="0"/>
    <xf numFmtId="0" fontId="1" fillId="0" borderId="4" applyNumberFormat="0" applyFont="0" applyFill="0"/>
    <xf numFmtId="0" fontId="1" fillId="0" borderId="6" applyNumberFormat="0" applyFont="0" applyFill="0" applyAlignment="0"/>
    <xf numFmtId="165" fontId="1" fillId="4" borderId="0" applyFont="0" applyBorder="0" applyAlignment="0"/>
    <xf numFmtId="14" fontId="1" fillId="0" borderId="0" applyFont="0" applyFill="0" applyBorder="0" applyAlignment="0"/>
    <xf numFmtId="166" fontId="1" fillId="0" borderId="0" applyFont="0" applyFill="0" applyBorder="0" applyAlignment="0"/>
  </cellStyleXfs>
  <cellXfs count="334">
    <xf numFmtId="0" fontId="0" fillId="0" borderId="0" xfId="0"/>
    <xf numFmtId="164" fontId="0" fillId="0" borderId="0" xfId="7" applyFont="1"/>
    <xf numFmtId="0" fontId="8" fillId="0" borderId="0" xfId="0" applyFont="1" applyAlignment="1">
      <alignment vertical="top"/>
    </xf>
    <xf numFmtId="167" fontId="0" fillId="0" borderId="0" xfId="7" applyNumberFormat="1" applyFont="1"/>
    <xf numFmtId="164" fontId="10" fillId="2" borderId="22" xfId="7" applyFont="1" applyFill="1" applyBorder="1" applyAlignment="1">
      <alignment horizontal="center" vertical="center"/>
    </xf>
    <xf numFmtId="164" fontId="10" fillId="2" borderId="27" xfId="7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167" fontId="12" fillId="2" borderId="18" xfId="7" applyNumberFormat="1" applyFont="1" applyFill="1" applyBorder="1" applyAlignment="1">
      <alignment horizontal="center" vertical="center"/>
    </xf>
    <xf numFmtId="167" fontId="12" fillId="2" borderId="19" xfId="7" applyNumberFormat="1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167" fontId="10" fillId="2" borderId="18" xfId="7" applyNumberFormat="1" applyFont="1" applyFill="1" applyBorder="1" applyAlignment="1">
      <alignment horizontal="center" vertical="center"/>
    </xf>
    <xf numFmtId="167" fontId="10" fillId="2" borderId="19" xfId="7" applyNumberFormat="1" applyFont="1" applyFill="1" applyBorder="1" applyAlignment="1">
      <alignment horizontal="center" vertical="center"/>
    </xf>
    <xf numFmtId="164" fontId="12" fillId="2" borderId="18" xfId="7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164" fontId="10" fillId="7" borderId="23" xfId="7" applyFont="1" applyFill="1" applyBorder="1" applyAlignment="1">
      <alignment horizontal="center" vertical="center"/>
    </xf>
    <xf numFmtId="164" fontId="10" fillId="7" borderId="22" xfId="7" applyFont="1" applyFill="1" applyBorder="1" applyAlignment="1">
      <alignment horizontal="center" vertical="center"/>
    </xf>
    <xf numFmtId="167" fontId="10" fillId="7" borderId="24" xfId="7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0" fillId="2" borderId="18" xfId="7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7" applyFont="1" applyAlignment="1">
      <alignment horizontal="center" vertical="center"/>
    </xf>
    <xf numFmtId="0" fontId="10" fillId="7" borderId="22" xfId="0" applyFont="1" applyFill="1" applyBorder="1" applyAlignment="1">
      <alignment horizontal="center" vertical="center"/>
    </xf>
    <xf numFmtId="167" fontId="10" fillId="7" borderId="30" xfId="7" applyNumberFormat="1" applyFont="1" applyFill="1" applyBorder="1" applyAlignment="1">
      <alignment horizontal="center" vertical="center"/>
    </xf>
    <xf numFmtId="167" fontId="10" fillId="7" borderId="22" xfId="7" applyNumberFormat="1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 wrapText="1"/>
    </xf>
    <xf numFmtId="0" fontId="10" fillId="7" borderId="37" xfId="0" applyFont="1" applyFill="1" applyBorder="1" applyAlignment="1">
      <alignment horizontal="center" vertical="center"/>
    </xf>
    <xf numFmtId="164" fontId="10" fillId="7" borderId="30" xfId="7" applyFont="1" applyFill="1" applyBorder="1" applyAlignment="1">
      <alignment horizontal="center" vertical="center"/>
    </xf>
    <xf numFmtId="167" fontId="10" fillId="2" borderId="41" xfId="7" applyNumberFormat="1" applyFont="1" applyFill="1" applyBorder="1" applyAlignment="1">
      <alignment horizontal="center" vertical="center"/>
    </xf>
    <xf numFmtId="167" fontId="17" fillId="9" borderId="22" xfId="0" applyNumberFormat="1" applyFont="1" applyFill="1" applyBorder="1" applyAlignment="1">
      <alignment horizontal="center" vertical="center"/>
    </xf>
    <xf numFmtId="167" fontId="17" fillId="11" borderId="22" xfId="0" applyNumberFormat="1" applyFont="1" applyFill="1" applyBorder="1" applyAlignment="1">
      <alignment horizontal="center" vertical="center"/>
    </xf>
    <xf numFmtId="167" fontId="17" fillId="11" borderId="22" xfId="7" applyNumberFormat="1" applyFont="1" applyFill="1" applyBorder="1" applyAlignment="1">
      <alignment horizontal="center" vertical="center"/>
    </xf>
    <xf numFmtId="0" fontId="15" fillId="7" borderId="23" xfId="0" applyFont="1" applyFill="1" applyBorder="1" applyAlignment="1">
      <alignment horizontal="center" vertical="center"/>
    </xf>
    <xf numFmtId="164" fontId="15" fillId="7" borderId="17" xfId="7" applyFont="1" applyFill="1" applyBorder="1" applyAlignment="1">
      <alignment horizontal="center" vertical="center"/>
    </xf>
    <xf numFmtId="167" fontId="15" fillId="7" borderId="19" xfId="7" applyNumberFormat="1" applyFont="1" applyFill="1" applyBorder="1" applyAlignment="1">
      <alignment horizontal="center" vertical="center"/>
    </xf>
    <xf numFmtId="0" fontId="4" fillId="0" borderId="0" xfId="0" applyFont="1"/>
    <xf numFmtId="0" fontId="17" fillId="2" borderId="23" xfId="0" applyFont="1" applyFill="1" applyBorder="1" applyAlignment="1">
      <alignment horizontal="center" vertical="center"/>
    </xf>
    <xf numFmtId="164" fontId="10" fillId="7" borderId="42" xfId="7" applyFont="1" applyFill="1" applyBorder="1" applyAlignment="1" applyProtection="1">
      <alignment horizontal="center" vertical="center"/>
    </xf>
    <xf numFmtId="164" fontId="10" fillId="7" borderId="20" xfId="7" applyFont="1" applyFill="1" applyBorder="1" applyAlignment="1" applyProtection="1">
      <alignment horizontal="center" vertical="center"/>
    </xf>
    <xf numFmtId="167" fontId="10" fillId="7" borderId="20" xfId="7" applyNumberFormat="1" applyFont="1" applyFill="1" applyBorder="1" applyAlignment="1" applyProtection="1">
      <alignment horizontal="center" vertical="center"/>
    </xf>
    <xf numFmtId="167" fontId="10" fillId="7" borderId="21" xfId="7" applyNumberFormat="1" applyFont="1" applyFill="1" applyBorder="1" applyAlignment="1" applyProtection="1">
      <alignment horizontal="center" vertical="center"/>
    </xf>
    <xf numFmtId="164" fontId="10" fillId="10" borderId="2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8" fillId="9" borderId="22" xfId="0" applyNumberFormat="1" applyFont="1" applyFill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164" fontId="10" fillId="7" borderId="42" xfId="7" applyFont="1" applyFill="1" applyBorder="1" applyAlignment="1">
      <alignment horizontal="center" vertical="center"/>
    </xf>
    <xf numFmtId="164" fontId="10" fillId="7" borderId="20" xfId="7" applyFont="1" applyFill="1" applyBorder="1" applyAlignment="1">
      <alignment horizontal="center" vertical="center"/>
    </xf>
    <xf numFmtId="167" fontId="0" fillId="0" borderId="0" xfId="7" applyNumberFormat="1" applyFont="1" applyAlignment="1">
      <alignment horizontal="center" vertical="center"/>
    </xf>
    <xf numFmtId="164" fontId="0" fillId="0" borderId="44" xfId="7" applyFont="1" applyBorder="1" applyAlignment="1" applyProtection="1">
      <alignment horizontal="center" vertical="center"/>
      <protection locked="0"/>
    </xf>
    <xf numFmtId="167" fontId="0" fillId="0" borderId="44" xfId="7" applyNumberFormat="1" applyFont="1" applyBorder="1" applyAlignment="1" applyProtection="1">
      <alignment horizontal="center" vertical="center"/>
      <protection locked="0"/>
    </xf>
    <xf numFmtId="167" fontId="0" fillId="0" borderId="45" xfId="7" applyNumberFormat="1" applyFont="1" applyBorder="1" applyAlignment="1">
      <alignment horizontal="center" vertical="center"/>
    </xf>
    <xf numFmtId="164" fontId="0" fillId="0" borderId="10" xfId="7" applyFont="1" applyBorder="1" applyAlignment="1" applyProtection="1">
      <alignment horizontal="center" vertical="center"/>
      <protection locked="0"/>
    </xf>
    <xf numFmtId="167" fontId="0" fillId="0" borderId="15" xfId="7" applyNumberFormat="1" applyFont="1" applyBorder="1" applyAlignment="1" applyProtection="1">
      <alignment horizontal="center" vertical="center"/>
      <protection locked="0"/>
    </xf>
    <xf numFmtId="167" fontId="0" fillId="0" borderId="16" xfId="7" applyNumberFormat="1" applyFont="1" applyBorder="1" applyAlignment="1">
      <alignment horizontal="center" vertical="center"/>
    </xf>
    <xf numFmtId="164" fontId="0" fillId="0" borderId="13" xfId="7" applyFont="1" applyBorder="1" applyAlignment="1" applyProtection="1">
      <alignment horizontal="center" vertical="center"/>
      <protection locked="0"/>
    </xf>
    <xf numFmtId="167" fontId="0" fillId="0" borderId="20" xfId="7" applyNumberFormat="1" applyFont="1" applyBorder="1" applyAlignment="1" applyProtection="1">
      <alignment horizontal="center" vertical="center"/>
      <protection locked="0"/>
    </xf>
    <xf numFmtId="167" fontId="0" fillId="0" borderId="40" xfId="7" applyNumberFormat="1" applyFont="1" applyBorder="1" applyAlignment="1">
      <alignment horizontal="center" vertical="center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164" fontId="0" fillId="0" borderId="15" xfId="7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26" xfId="0" applyFont="1" applyBorder="1" applyAlignment="1" applyProtection="1">
      <alignment horizontal="center"/>
      <protection locked="0"/>
    </xf>
    <xf numFmtId="0" fontId="14" fillId="0" borderId="49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 vertical="center"/>
      <protection locked="0"/>
    </xf>
    <xf numFmtId="0" fontId="14" fillId="0" borderId="26" xfId="0" applyFont="1" applyBorder="1" applyAlignment="1" applyProtection="1">
      <alignment horizontal="center" vertical="center"/>
      <protection locked="0"/>
    </xf>
    <xf numFmtId="0" fontId="14" fillId="0" borderId="49" xfId="0" applyFont="1" applyBorder="1" applyAlignment="1" applyProtection="1">
      <alignment horizontal="center" vertical="center"/>
      <protection locked="0"/>
    </xf>
    <xf numFmtId="164" fontId="0" fillId="0" borderId="15" xfId="7" applyFont="1" applyBorder="1" applyAlignment="1" applyProtection="1">
      <alignment horizontal="center"/>
      <protection locked="0"/>
    </xf>
    <xf numFmtId="164" fontId="0" fillId="0" borderId="10" xfId="7" applyFont="1" applyBorder="1" applyAlignment="1" applyProtection="1">
      <alignment horizontal="center"/>
      <protection locked="0"/>
    </xf>
    <xf numFmtId="164" fontId="0" fillId="0" borderId="13" xfId="7" applyFont="1" applyBorder="1" applyAlignment="1" applyProtection="1">
      <alignment horizontal="center"/>
      <protection locked="0"/>
    </xf>
    <xf numFmtId="164" fontId="0" fillId="0" borderId="20" xfId="7" applyFont="1" applyBorder="1" applyAlignment="1" applyProtection="1">
      <alignment horizontal="center"/>
      <protection locked="0"/>
    </xf>
    <xf numFmtId="167" fontId="0" fillId="0" borderId="15" xfId="7" applyNumberFormat="1" applyFont="1" applyBorder="1" applyAlignment="1" applyProtection="1">
      <alignment horizontal="center" vertical="center"/>
    </xf>
    <xf numFmtId="167" fontId="0" fillId="0" borderId="40" xfId="7" applyNumberFormat="1" applyFont="1" applyBorder="1" applyAlignment="1" applyProtection="1">
      <alignment horizontal="center" vertical="center"/>
    </xf>
    <xf numFmtId="167" fontId="14" fillId="0" borderId="16" xfId="7" applyNumberFormat="1" applyFont="1" applyBorder="1" applyAlignment="1" applyProtection="1">
      <alignment horizontal="center" vertical="center"/>
      <protection locked="0"/>
    </xf>
    <xf numFmtId="0" fontId="14" fillId="0" borderId="46" xfId="0" applyFont="1" applyBorder="1" applyAlignment="1" applyProtection="1">
      <alignment horizontal="center" vertical="center"/>
      <protection locked="0"/>
    </xf>
    <xf numFmtId="164" fontId="0" fillId="0" borderId="20" xfId="7" applyFont="1" applyBorder="1" applyAlignment="1" applyProtection="1">
      <alignment horizontal="center" vertical="center"/>
      <protection locked="0"/>
    </xf>
    <xf numFmtId="0" fontId="14" fillId="0" borderId="48" xfId="0" applyFont="1" applyBorder="1" applyAlignment="1" applyProtection="1">
      <alignment horizontal="center" vertical="center"/>
      <protection locked="0"/>
    </xf>
    <xf numFmtId="167" fontId="0" fillId="0" borderId="15" xfId="7" applyNumberFormat="1" applyFont="1" applyBorder="1" applyAlignment="1">
      <alignment horizontal="center"/>
    </xf>
    <xf numFmtId="164" fontId="0" fillId="0" borderId="16" xfId="7" applyFont="1" applyBorder="1" applyAlignment="1">
      <alignment horizontal="center" vertical="center"/>
    </xf>
    <xf numFmtId="164" fontId="0" fillId="0" borderId="21" xfId="7" applyFont="1" applyBorder="1" applyAlignment="1">
      <alignment horizontal="center" vertical="center"/>
    </xf>
    <xf numFmtId="164" fontId="0" fillId="0" borderId="44" xfId="7" applyFont="1" applyBorder="1" applyAlignment="1" applyProtection="1">
      <alignment horizontal="center"/>
      <protection locked="0"/>
    </xf>
    <xf numFmtId="167" fontId="14" fillId="0" borderId="25" xfId="7" applyNumberFormat="1" applyFont="1" applyBorder="1" applyAlignment="1" applyProtection="1">
      <alignment horizontal="center"/>
      <protection locked="0"/>
    </xf>
    <xf numFmtId="0" fontId="10" fillId="2" borderId="17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164" fontId="10" fillId="2" borderId="18" xfId="7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2" borderId="37" xfId="0" applyFont="1" applyFill="1" applyBorder="1" applyAlignment="1">
      <alignment horizontal="center"/>
    </xf>
    <xf numFmtId="164" fontId="10" fillId="2" borderId="42" xfId="7" applyFont="1" applyFill="1" applyBorder="1" applyAlignment="1">
      <alignment horizontal="center"/>
    </xf>
    <xf numFmtId="164" fontId="10" fillId="2" borderId="20" xfId="7" applyFont="1" applyFill="1" applyBorder="1" applyAlignment="1">
      <alignment horizontal="center"/>
    </xf>
    <xf numFmtId="167" fontId="14" fillId="0" borderId="25" xfId="7" applyNumberFormat="1" applyFont="1" applyBorder="1" applyAlignment="1" applyProtection="1">
      <alignment horizontal="center" vertical="center"/>
      <protection locked="0"/>
    </xf>
    <xf numFmtId="0" fontId="9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43" xfId="0" applyBorder="1" applyAlignment="1" applyProtection="1">
      <alignment horizontal="left"/>
      <protection locked="0"/>
    </xf>
    <xf numFmtId="0" fontId="0" fillId="0" borderId="44" xfId="0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/>
      <protection locked="0"/>
    </xf>
    <xf numFmtId="0" fontId="0" fillId="0" borderId="43" xfId="0" applyBorder="1" applyAlignment="1" applyProtection="1">
      <alignment horizontal="left" vertical="center"/>
      <protection locked="0"/>
    </xf>
    <xf numFmtId="0" fontId="0" fillId="0" borderId="44" xfId="0" applyBorder="1" applyAlignment="1" applyProtection="1">
      <alignment horizontal="left" vertical="center"/>
      <protection locked="0"/>
    </xf>
    <xf numFmtId="167" fontId="10" fillId="2" borderId="22" xfId="7" applyNumberFormat="1" applyFont="1" applyFill="1" applyBorder="1" applyAlignment="1">
      <alignment horizontal="center" vertical="center"/>
    </xf>
    <xf numFmtId="167" fontId="4" fillId="14" borderId="52" xfId="0" applyNumberFormat="1" applyFont="1" applyFill="1" applyBorder="1" applyAlignment="1">
      <alignment horizontal="center" vertical="center"/>
    </xf>
    <xf numFmtId="167" fontId="4" fillId="14" borderId="51" xfId="0" applyNumberFormat="1" applyFont="1" applyFill="1" applyBorder="1" applyAlignment="1">
      <alignment horizontal="center" vertical="center"/>
    </xf>
    <xf numFmtId="167" fontId="12" fillId="2" borderId="34" xfId="7" applyNumberFormat="1" applyFont="1" applyFill="1" applyBorder="1" applyAlignment="1">
      <alignment horizontal="center" vertical="center" wrapText="1"/>
    </xf>
    <xf numFmtId="164" fontId="20" fillId="2" borderId="34" xfId="7" applyFont="1" applyFill="1" applyBorder="1" applyAlignment="1">
      <alignment horizontal="center" vertical="center" wrapText="1"/>
    </xf>
    <xf numFmtId="0" fontId="9" fillId="0" borderId="56" xfId="0" applyFont="1" applyBorder="1" applyAlignment="1">
      <alignment horizontal="left" vertical="center"/>
    </xf>
    <xf numFmtId="0" fontId="9" fillId="0" borderId="57" xfId="0" applyFont="1" applyBorder="1" applyAlignment="1">
      <alignment horizontal="left" vertical="center"/>
    </xf>
    <xf numFmtId="164" fontId="4" fillId="0" borderId="49" xfId="0" applyNumberFormat="1" applyFont="1" applyBorder="1" applyAlignment="1">
      <alignment horizontal="center" vertical="center"/>
    </xf>
    <xf numFmtId="164" fontId="4" fillId="0" borderId="58" xfId="0" applyNumberFormat="1" applyFont="1" applyBorder="1" applyAlignment="1">
      <alignment horizontal="center" vertical="center"/>
    </xf>
    <xf numFmtId="167" fontId="4" fillId="14" borderId="53" xfId="0" applyNumberFormat="1" applyFont="1" applyFill="1" applyBorder="1" applyAlignment="1">
      <alignment horizontal="center" vertical="center"/>
    </xf>
    <xf numFmtId="167" fontId="4" fillId="14" borderId="54" xfId="0" applyNumberFormat="1" applyFont="1" applyFill="1" applyBorder="1" applyAlignment="1">
      <alignment horizontal="center" vertical="center"/>
    </xf>
    <xf numFmtId="164" fontId="19" fillId="12" borderId="25" xfId="0" applyNumberFormat="1" applyFont="1" applyFill="1" applyBorder="1" applyAlignment="1">
      <alignment horizontal="center" vertical="center"/>
    </xf>
    <xf numFmtId="164" fontId="19" fillId="12" borderId="49" xfId="0" applyNumberFormat="1" applyFont="1" applyFill="1" applyBorder="1" applyAlignment="1">
      <alignment horizontal="center" vertical="center"/>
    </xf>
    <xf numFmtId="164" fontId="12" fillId="9" borderId="25" xfId="0" applyNumberFormat="1" applyFont="1" applyFill="1" applyBorder="1" applyAlignment="1">
      <alignment horizontal="center" vertical="center"/>
    </xf>
    <xf numFmtId="164" fontId="12" fillId="9" borderId="49" xfId="0" applyNumberFormat="1" applyFont="1" applyFill="1" applyBorder="1" applyAlignment="1">
      <alignment horizontal="center" vertical="center"/>
    </xf>
    <xf numFmtId="167" fontId="0" fillId="0" borderId="47" xfId="7" applyNumberFormat="1" applyFont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164" fontId="4" fillId="0" borderId="59" xfId="0" applyNumberFormat="1" applyFont="1" applyBorder="1" applyAlignment="1">
      <alignment horizontal="center" vertical="center"/>
    </xf>
    <xf numFmtId="167" fontId="4" fillId="14" borderId="30" xfId="0" applyNumberFormat="1" applyFont="1" applyFill="1" applyBorder="1" applyAlignment="1">
      <alignment horizontal="center" vertical="center"/>
    </xf>
    <xf numFmtId="164" fontId="4" fillId="12" borderId="26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7" fontId="4" fillId="0" borderId="49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164" fontId="4" fillId="0" borderId="36" xfId="0" applyNumberFormat="1" applyFont="1" applyBorder="1" applyAlignment="1">
      <alignment horizontal="center" vertical="center"/>
    </xf>
    <xf numFmtId="0" fontId="9" fillId="0" borderId="49" xfId="0" applyFont="1" applyBorder="1" applyAlignment="1">
      <alignment horizontal="left" vertical="center"/>
    </xf>
    <xf numFmtId="167" fontId="0" fillId="0" borderId="10" xfId="7" applyNumberFormat="1" applyFont="1" applyBorder="1" applyAlignment="1">
      <alignment horizontal="center"/>
    </xf>
    <xf numFmtId="164" fontId="10" fillId="2" borderId="60" xfId="7" applyFont="1" applyFill="1" applyBorder="1" applyAlignment="1">
      <alignment horizontal="center"/>
    </xf>
    <xf numFmtId="167" fontId="10" fillId="2" borderId="22" xfId="7" applyNumberFormat="1" applyFont="1" applyFill="1" applyBorder="1" applyAlignment="1">
      <alignment horizontal="center"/>
    </xf>
    <xf numFmtId="164" fontId="10" fillId="2" borderId="47" xfId="7" applyFont="1" applyFill="1" applyBorder="1" applyAlignment="1">
      <alignment horizontal="center"/>
    </xf>
    <xf numFmtId="167" fontId="0" fillId="0" borderId="61" xfId="7" applyNumberFormat="1" applyFont="1" applyBorder="1" applyAlignment="1">
      <alignment horizontal="center"/>
    </xf>
    <xf numFmtId="167" fontId="10" fillId="2" borderId="27" xfId="7" applyNumberFormat="1" applyFont="1" applyFill="1" applyBorder="1" applyAlignment="1">
      <alignment horizontal="center"/>
    </xf>
    <xf numFmtId="167" fontId="0" fillId="0" borderId="62" xfId="7" applyNumberFormat="1" applyFont="1" applyBorder="1" applyAlignment="1">
      <alignment horizontal="center"/>
    </xf>
    <xf numFmtId="167" fontId="0" fillId="0" borderId="63" xfId="7" applyNumberFormat="1" applyFont="1" applyBorder="1" applyAlignment="1">
      <alignment horizontal="center"/>
    </xf>
    <xf numFmtId="167" fontId="10" fillId="7" borderId="22" xfId="7" applyNumberFormat="1" applyFont="1" applyFill="1" applyBorder="1" applyAlignment="1">
      <alignment horizontal="center"/>
    </xf>
    <xf numFmtId="164" fontId="0" fillId="0" borderId="64" xfId="7" applyFont="1" applyBorder="1" applyAlignment="1" applyProtection="1">
      <alignment horizontal="center" vertical="center"/>
      <protection locked="0"/>
    </xf>
    <xf numFmtId="0" fontId="10" fillId="2" borderId="23" xfId="0" applyFont="1" applyFill="1" applyBorder="1" applyAlignment="1">
      <alignment horizontal="center" vertical="center"/>
    </xf>
    <xf numFmtId="164" fontId="0" fillId="0" borderId="65" xfId="7" applyFont="1" applyBorder="1" applyAlignment="1" applyProtection="1">
      <alignment horizontal="center" vertical="center"/>
      <protection locked="0"/>
    </xf>
    <xf numFmtId="164" fontId="0" fillId="0" borderId="66" xfId="7" applyFont="1" applyBorder="1" applyAlignment="1" applyProtection="1">
      <alignment horizontal="center" vertical="center"/>
      <protection locked="0"/>
    </xf>
    <xf numFmtId="164" fontId="0" fillId="0" borderId="67" xfId="7" applyFont="1" applyBorder="1" applyAlignment="1" applyProtection="1">
      <alignment horizontal="center" vertical="center"/>
      <protection locked="0"/>
    </xf>
    <xf numFmtId="164" fontId="0" fillId="15" borderId="25" xfId="7" applyFont="1" applyFill="1" applyBorder="1" applyAlignment="1" applyProtection="1">
      <alignment horizontal="center" vertical="center"/>
      <protection locked="0"/>
    </xf>
    <xf numFmtId="164" fontId="0" fillId="15" borderId="68" xfId="7" applyFont="1" applyFill="1" applyBorder="1" applyAlignment="1" applyProtection="1">
      <alignment horizontal="center" vertical="center"/>
      <protection locked="0"/>
    </xf>
    <xf numFmtId="164" fontId="0" fillId="15" borderId="55" xfId="7" applyFont="1" applyFill="1" applyBorder="1" applyAlignment="1" applyProtection="1">
      <alignment horizontal="center" vertical="center"/>
      <protection locked="0"/>
    </xf>
    <xf numFmtId="164" fontId="0" fillId="0" borderId="54" xfId="7" applyFont="1" applyBorder="1" applyAlignment="1" applyProtection="1">
      <alignment horizontal="center" vertical="center"/>
      <protection locked="0"/>
    </xf>
    <xf numFmtId="164" fontId="0" fillId="0" borderId="0" xfId="7" applyFont="1" applyAlignment="1" applyProtection="1">
      <alignment horizontal="center" vertical="center"/>
      <protection locked="0"/>
    </xf>
    <xf numFmtId="167" fontId="0" fillId="0" borderId="70" xfId="7" applyNumberFormat="1" applyFont="1" applyBorder="1" applyAlignment="1">
      <alignment horizontal="center" vertical="center"/>
    </xf>
    <xf numFmtId="167" fontId="10" fillId="7" borderId="47" xfId="7" applyNumberFormat="1" applyFont="1" applyFill="1" applyBorder="1" applyAlignment="1">
      <alignment horizontal="center" vertical="center"/>
    </xf>
    <xf numFmtId="167" fontId="10" fillId="16" borderId="22" xfId="7" applyNumberFormat="1" applyFont="1" applyFill="1" applyBorder="1" applyAlignment="1">
      <alignment horizontal="center" vertical="center"/>
    </xf>
    <xf numFmtId="167" fontId="0" fillId="0" borderId="65" xfId="7" applyNumberFormat="1" applyFont="1" applyBorder="1" applyAlignment="1">
      <alignment horizontal="center" vertical="center"/>
    </xf>
    <xf numFmtId="0" fontId="15" fillId="7" borderId="37" xfId="0" applyFont="1" applyFill="1" applyBorder="1" applyAlignment="1">
      <alignment horizontal="center" vertical="center"/>
    </xf>
    <xf numFmtId="164" fontId="18" fillId="9" borderId="55" xfId="0" applyNumberFormat="1" applyFont="1" applyFill="1" applyBorder="1" applyAlignment="1">
      <alignment horizontal="center" vertical="center"/>
    </xf>
    <xf numFmtId="164" fontId="0" fillId="0" borderId="16" xfId="7" applyFont="1" applyBorder="1" applyAlignment="1" applyProtection="1">
      <alignment horizontal="center" vertical="center"/>
      <protection locked="0"/>
    </xf>
    <xf numFmtId="164" fontId="0" fillId="0" borderId="21" xfId="7" applyFont="1" applyBorder="1" applyAlignment="1" applyProtection="1">
      <alignment horizontal="center" vertical="center"/>
      <protection locked="0"/>
    </xf>
    <xf numFmtId="164" fontId="15" fillId="7" borderId="24" xfId="7" applyFont="1" applyFill="1" applyBorder="1" applyAlignment="1">
      <alignment horizontal="center" vertical="center"/>
    </xf>
    <xf numFmtId="164" fontId="15" fillId="7" borderId="22" xfId="7" applyFont="1" applyFill="1" applyBorder="1" applyAlignment="1">
      <alignment horizontal="center" vertical="center"/>
    </xf>
    <xf numFmtId="167" fontId="15" fillId="7" borderId="30" xfId="7" applyNumberFormat="1" applyFont="1" applyFill="1" applyBorder="1" applyAlignment="1">
      <alignment horizontal="center" vertical="center"/>
    </xf>
    <xf numFmtId="167" fontId="4" fillId="12" borderId="56" xfId="0" applyNumberFormat="1" applyFont="1" applyFill="1" applyBorder="1" applyAlignment="1">
      <alignment horizontal="center" vertical="center"/>
    </xf>
    <xf numFmtId="167" fontId="4" fillId="12" borderId="57" xfId="0" applyNumberFormat="1" applyFont="1" applyFill="1" applyBorder="1" applyAlignment="1">
      <alignment horizontal="center" vertical="center"/>
    </xf>
    <xf numFmtId="167" fontId="21" fillId="13" borderId="23" xfId="0" applyNumberFormat="1" applyFont="1" applyFill="1" applyBorder="1" applyAlignment="1">
      <alignment horizontal="center" vertical="center"/>
    </xf>
    <xf numFmtId="164" fontId="4" fillId="0" borderId="50" xfId="0" applyNumberFormat="1" applyFont="1" applyBorder="1" applyAlignment="1">
      <alignment horizontal="center" vertical="center"/>
    </xf>
    <xf numFmtId="0" fontId="0" fillId="0" borderId="68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0" fillId="0" borderId="49" xfId="0" applyBorder="1" applyAlignment="1" applyProtection="1">
      <alignment horizontal="left" vertical="center"/>
      <protection locked="0"/>
    </xf>
    <xf numFmtId="0" fontId="15" fillId="7" borderId="22" xfId="0" applyFont="1" applyFill="1" applyBorder="1" applyAlignment="1">
      <alignment horizontal="center" vertical="center"/>
    </xf>
    <xf numFmtId="164" fontId="0" fillId="0" borderId="40" xfId="7" applyFont="1" applyBorder="1" applyAlignment="1" applyProtection="1">
      <alignment horizontal="center" vertical="center"/>
    </xf>
    <xf numFmtId="164" fontId="0" fillId="0" borderId="61" xfId="7" applyFont="1" applyBorder="1" applyAlignment="1" applyProtection="1">
      <alignment horizontal="center" vertical="center"/>
      <protection locked="0"/>
    </xf>
    <xf numFmtId="164" fontId="0" fillId="0" borderId="7" xfId="7" applyFont="1" applyBorder="1" applyAlignment="1" applyProtection="1">
      <alignment horizontal="center" vertical="center"/>
    </xf>
    <xf numFmtId="167" fontId="12" fillId="2" borderId="23" xfId="7" applyNumberFormat="1" applyFont="1" applyFill="1" applyBorder="1" applyAlignment="1">
      <alignment horizontal="center" vertical="center" wrapText="1"/>
    </xf>
    <xf numFmtId="167" fontId="4" fillId="0" borderId="72" xfId="0" applyNumberFormat="1" applyFont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0" fillId="0" borderId="65" xfId="0" applyBorder="1" applyAlignment="1" applyProtection="1">
      <alignment horizontal="left" vertical="center"/>
      <protection locked="0"/>
    </xf>
    <xf numFmtId="0" fontId="0" fillId="0" borderId="66" xfId="0" applyBorder="1" applyAlignment="1" applyProtection="1">
      <alignment horizontal="left" vertical="center"/>
      <protection locked="0"/>
    </xf>
    <xf numFmtId="0" fontId="0" fillId="0" borderId="54" xfId="0" applyBorder="1" applyAlignment="1" applyProtection="1">
      <alignment horizontal="left" vertical="center"/>
      <protection locked="0"/>
    </xf>
    <xf numFmtId="167" fontId="10" fillId="7" borderId="23" xfId="7" applyNumberFormat="1" applyFont="1" applyFill="1" applyBorder="1" applyAlignment="1">
      <alignment horizontal="center" vertical="center"/>
    </xf>
    <xf numFmtId="167" fontId="14" fillId="0" borderId="68" xfId="7" applyNumberFormat="1" applyFont="1" applyBorder="1" applyAlignment="1" applyProtection="1">
      <alignment horizontal="center" vertical="center"/>
      <protection locked="0"/>
    </xf>
    <xf numFmtId="0" fontId="10" fillId="2" borderId="22" xfId="0" applyFont="1" applyFill="1" applyBorder="1" applyAlignment="1">
      <alignment horizontal="center" vertical="center"/>
    </xf>
    <xf numFmtId="0" fontId="10" fillId="2" borderId="71" xfId="0" applyFont="1" applyFill="1" applyBorder="1" applyAlignment="1">
      <alignment horizontal="center" vertical="center"/>
    </xf>
    <xf numFmtId="164" fontId="10" fillId="2" borderId="19" xfId="7" applyFont="1" applyFill="1" applyBorder="1" applyAlignment="1">
      <alignment horizontal="center" vertical="center"/>
    </xf>
    <xf numFmtId="167" fontId="10" fillId="2" borderId="71" xfId="7" applyNumberFormat="1" applyFont="1" applyFill="1" applyBorder="1" applyAlignment="1">
      <alignment horizontal="center" vertical="center" wrapText="1"/>
    </xf>
    <xf numFmtId="167" fontId="10" fillId="2" borderId="19" xfId="7" applyNumberFormat="1" applyFont="1" applyFill="1" applyBorder="1" applyAlignment="1">
      <alignment horizontal="center" vertical="center" wrapText="1"/>
    </xf>
    <xf numFmtId="164" fontId="10" fillId="7" borderId="23" xfId="7" applyFont="1" applyFill="1" applyBorder="1" applyAlignment="1" applyProtection="1">
      <alignment horizontal="center" vertical="center"/>
    </xf>
    <xf numFmtId="164" fontId="10" fillId="7" borderId="22" xfId="7" applyFont="1" applyFill="1" applyBorder="1" applyAlignment="1" applyProtection="1">
      <alignment horizontal="center" vertical="center"/>
    </xf>
    <xf numFmtId="164" fontId="10" fillId="7" borderId="30" xfId="7" applyFont="1" applyFill="1" applyBorder="1" applyAlignment="1" applyProtection="1">
      <alignment horizontal="center" vertical="center"/>
    </xf>
    <xf numFmtId="0" fontId="0" fillId="0" borderId="40" xfId="0" applyBorder="1" applyAlignment="1" applyProtection="1">
      <alignment horizontal="left" vertical="center"/>
      <protection locked="0"/>
    </xf>
    <xf numFmtId="0" fontId="0" fillId="0" borderId="62" xfId="0" applyBorder="1" applyAlignment="1" applyProtection="1">
      <alignment horizontal="left" vertical="center"/>
      <protection locked="0"/>
    </xf>
    <xf numFmtId="0" fontId="0" fillId="0" borderId="63" xfId="0" applyBorder="1" applyAlignment="1" applyProtection="1">
      <alignment horizontal="left" vertical="center"/>
      <protection locked="0"/>
    </xf>
    <xf numFmtId="164" fontId="0" fillId="0" borderId="56" xfId="7" applyFont="1" applyBorder="1" applyAlignment="1" applyProtection="1">
      <alignment horizontal="center" vertical="center"/>
      <protection locked="0"/>
    </xf>
    <xf numFmtId="164" fontId="0" fillId="0" borderId="73" xfId="7" applyFont="1" applyBorder="1" applyAlignment="1" applyProtection="1">
      <alignment horizontal="center" vertical="center"/>
      <protection locked="0"/>
    </xf>
    <xf numFmtId="164" fontId="0" fillId="0" borderId="37" xfId="7" applyFont="1" applyBorder="1" applyAlignment="1" applyProtection="1">
      <alignment horizontal="center" vertical="center"/>
      <protection locked="0"/>
    </xf>
    <xf numFmtId="164" fontId="17" fillId="9" borderId="22" xfId="0" applyNumberFormat="1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29" xfId="0" applyBorder="1" applyAlignment="1" applyProtection="1">
      <alignment horizontal="left" vertical="center"/>
      <protection locked="0"/>
    </xf>
    <xf numFmtId="0" fontId="0" fillId="0" borderId="74" xfId="0" applyBorder="1" applyAlignment="1" applyProtection="1">
      <alignment horizontal="left" vertical="center"/>
      <protection locked="0"/>
    </xf>
    <xf numFmtId="0" fontId="9" fillId="0" borderId="68" xfId="0" applyFont="1" applyBorder="1" applyAlignment="1">
      <alignment horizontal="left" vertical="center"/>
    </xf>
    <xf numFmtId="164" fontId="4" fillId="0" borderId="75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67" fontId="14" fillId="0" borderId="69" xfId="0" applyNumberFormat="1" applyFont="1" applyBorder="1" applyAlignment="1">
      <alignment horizontal="center" vertical="center"/>
    </xf>
    <xf numFmtId="167" fontId="4" fillId="14" borderId="22" xfId="0" applyNumberFormat="1" applyFont="1" applyFill="1" applyBorder="1" applyAlignment="1">
      <alignment horizontal="center" vertical="center"/>
    </xf>
    <xf numFmtId="167" fontId="16" fillId="10" borderId="22" xfId="0" applyNumberFormat="1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0" fillId="0" borderId="58" xfId="0" applyBorder="1" applyAlignment="1" applyProtection="1">
      <alignment horizontal="left" vertical="center"/>
      <protection locked="0"/>
    </xf>
    <xf numFmtId="164" fontId="10" fillId="7" borderId="24" xfId="7" applyFont="1" applyFill="1" applyBorder="1" applyAlignment="1">
      <alignment horizontal="center" vertical="center"/>
    </xf>
    <xf numFmtId="164" fontId="10" fillId="7" borderId="37" xfId="7" applyFont="1" applyFill="1" applyBorder="1" applyAlignment="1" applyProtection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167" fontId="10" fillId="2" borderId="60" xfId="7" applyNumberFormat="1" applyFont="1" applyFill="1" applyBorder="1" applyAlignment="1" applyProtection="1">
      <alignment horizontal="center" vertical="center"/>
    </xf>
    <xf numFmtId="167" fontId="17" fillId="11" borderId="22" xfId="0" applyNumberFormat="1" applyFont="1" applyFill="1" applyBorder="1" applyAlignment="1" applyProtection="1">
      <alignment horizontal="center" vertical="center"/>
    </xf>
    <xf numFmtId="167" fontId="0" fillId="0" borderId="16" xfId="7" applyNumberFormat="1" applyFont="1" applyBorder="1" applyAlignment="1" applyProtection="1">
      <alignment horizontal="center" vertical="center"/>
    </xf>
    <xf numFmtId="167" fontId="10" fillId="2" borderId="22" xfId="7" applyNumberFormat="1" applyFont="1" applyFill="1" applyBorder="1" applyAlignment="1" applyProtection="1">
      <alignment horizontal="center" vertical="center"/>
    </xf>
    <xf numFmtId="0" fontId="15" fillId="7" borderId="23" xfId="0" applyFont="1" applyFill="1" applyBorder="1" applyAlignment="1" applyProtection="1">
      <alignment horizontal="center" vertical="center"/>
    </xf>
    <xf numFmtId="167" fontId="17" fillId="9" borderId="22" xfId="0" applyNumberFormat="1" applyFont="1" applyFill="1" applyBorder="1" applyAlignment="1" applyProtection="1">
      <alignment horizontal="center" vertical="center"/>
    </xf>
    <xf numFmtId="164" fontId="10" fillId="2" borderId="17" xfId="7" applyFont="1" applyFill="1" applyBorder="1" applyAlignment="1" applyProtection="1">
      <alignment horizontal="center" vertical="center"/>
    </xf>
    <xf numFmtId="164" fontId="17" fillId="2" borderId="22" xfId="7" applyFont="1" applyFill="1" applyBorder="1" applyAlignment="1" applyProtection="1">
      <alignment horizontal="center" vertical="center"/>
    </xf>
    <xf numFmtId="164" fontId="10" fillId="2" borderId="22" xfId="7" applyFont="1" applyFill="1" applyBorder="1" applyAlignment="1" applyProtection="1">
      <alignment horizontal="center" vertical="center"/>
    </xf>
    <xf numFmtId="164" fontId="10" fillId="2" borderId="71" xfId="7" applyFont="1" applyFill="1" applyBorder="1" applyAlignment="1" applyProtection="1">
      <alignment horizontal="center" vertical="center"/>
    </xf>
    <xf numFmtId="164" fontId="10" fillId="2" borderId="18" xfId="7" applyFont="1" applyFill="1" applyBorder="1" applyAlignment="1" applyProtection="1">
      <alignment horizontal="center" vertical="center"/>
    </xf>
    <xf numFmtId="0" fontId="0" fillId="0" borderId="0" xfId="0" applyProtection="1">
      <protection locked="0"/>
    </xf>
    <xf numFmtId="164" fontId="0" fillId="0" borderId="0" xfId="7" applyFont="1" applyProtection="1">
      <protection locked="0"/>
    </xf>
    <xf numFmtId="167" fontId="0" fillId="0" borderId="0" xfId="7" applyNumberFormat="1" applyFont="1" applyProtection="1">
      <protection locked="0"/>
    </xf>
    <xf numFmtId="0" fontId="8" fillId="0" borderId="0" xfId="0" applyFont="1" applyAlignment="1" applyProtection="1">
      <alignment vertical="top"/>
      <protection locked="0"/>
    </xf>
    <xf numFmtId="0" fontId="10" fillId="2" borderId="22" xfId="0" applyFont="1" applyFill="1" applyBorder="1" applyAlignment="1" applyProtection="1">
      <alignment horizontal="center" vertical="center"/>
      <protection locked="0"/>
    </xf>
    <xf numFmtId="0" fontId="10" fillId="2" borderId="71" xfId="0" applyFont="1" applyFill="1" applyBorder="1" applyAlignment="1" applyProtection="1">
      <alignment horizontal="center" vertical="center"/>
      <protection locked="0"/>
    </xf>
    <xf numFmtId="164" fontId="10" fillId="2" borderId="18" xfId="7" applyFont="1" applyFill="1" applyBorder="1" applyAlignment="1" applyProtection="1">
      <alignment horizontal="center" vertical="center"/>
      <protection locked="0"/>
    </xf>
    <xf numFmtId="167" fontId="10" fillId="2" borderId="18" xfId="7" applyNumberFormat="1" applyFont="1" applyFill="1" applyBorder="1" applyAlignment="1" applyProtection="1">
      <alignment horizontal="center" vertical="center"/>
      <protection locked="0"/>
    </xf>
    <xf numFmtId="167" fontId="10" fillId="2" borderId="19" xfId="7" applyNumberFormat="1" applyFont="1" applyFill="1" applyBorder="1" applyAlignment="1" applyProtection="1">
      <alignment horizontal="center" vertical="center"/>
      <protection locked="0"/>
    </xf>
    <xf numFmtId="167" fontId="10" fillId="7" borderId="24" xfId="7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2" borderId="2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7" fillId="2" borderId="23" xfId="0" applyFont="1" applyFill="1" applyBorder="1" applyAlignment="1" applyProtection="1">
      <alignment horizontal="center" vertical="center"/>
      <protection locked="0"/>
    </xf>
    <xf numFmtId="0" fontId="10" fillId="2" borderId="23" xfId="0" applyFont="1" applyFill="1" applyBorder="1" applyAlignment="1" applyProtection="1">
      <alignment horizontal="center" vertical="center" wrapText="1"/>
      <protection locked="0"/>
    </xf>
    <xf numFmtId="167" fontId="0" fillId="0" borderId="64" xfId="7" applyNumberFormat="1" applyFont="1" applyBorder="1" applyAlignment="1" applyProtection="1">
      <alignment horizontal="center" vertical="center"/>
    </xf>
    <xf numFmtId="164" fontId="18" fillId="9" borderId="22" xfId="0" applyNumberFormat="1" applyFont="1" applyFill="1" applyBorder="1" applyAlignment="1" applyProtection="1">
      <alignment horizontal="center" vertical="center"/>
    </xf>
    <xf numFmtId="164" fontId="0" fillId="0" borderId="59" xfId="7" applyFont="1" applyBorder="1" applyAlignment="1" applyProtection="1">
      <alignment horizontal="center" vertical="center"/>
      <protection locked="0"/>
    </xf>
    <xf numFmtId="164" fontId="0" fillId="0" borderId="57" xfId="7" applyFont="1" applyBorder="1" applyAlignment="1" applyProtection="1">
      <alignment horizontal="center" vertical="center"/>
      <protection locked="0"/>
    </xf>
    <xf numFmtId="164" fontId="10" fillId="7" borderId="25" xfId="7" applyFont="1" applyFill="1" applyBorder="1" applyAlignment="1">
      <alignment horizontal="center" vertical="center"/>
    </xf>
    <xf numFmtId="164" fontId="0" fillId="15" borderId="26" xfId="7" applyFont="1" applyFill="1" applyBorder="1" applyAlignment="1" applyProtection="1">
      <alignment horizontal="center" vertical="center"/>
      <protection locked="0"/>
    </xf>
    <xf numFmtId="164" fontId="0" fillId="15" borderId="49" xfId="7" applyFont="1" applyFill="1" applyBorder="1" applyAlignment="1" applyProtection="1">
      <alignment horizontal="center" vertical="center"/>
      <protection locked="0"/>
    </xf>
    <xf numFmtId="164" fontId="10" fillId="7" borderId="23" xfId="7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25" fillId="7" borderId="22" xfId="7" applyFont="1" applyFill="1" applyBorder="1" applyAlignment="1">
      <alignment horizontal="center" vertical="center" wrapText="1"/>
    </xf>
    <xf numFmtId="167" fontId="10" fillId="7" borderId="22" xfId="7" applyNumberFormat="1" applyFont="1" applyFill="1" applyBorder="1" applyAlignment="1" applyProtection="1">
      <alignment horizontal="center" vertical="center"/>
    </xf>
    <xf numFmtId="164" fontId="16" fillId="11" borderId="2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3" xfId="0" applyBorder="1" applyAlignment="1" applyProtection="1">
      <alignment horizontal="left" vertical="center"/>
      <protection locked="0"/>
    </xf>
    <xf numFmtId="0" fontId="0" fillId="0" borderId="59" xfId="0" applyBorder="1" applyAlignment="1" applyProtection="1">
      <alignment horizontal="left" vertical="center"/>
      <protection locked="0"/>
    </xf>
    <xf numFmtId="0" fontId="0" fillId="0" borderId="57" xfId="0" applyBorder="1" applyAlignment="1" applyProtection="1">
      <alignment horizontal="left" vertical="center"/>
      <protection locked="0"/>
    </xf>
    <xf numFmtId="164" fontId="0" fillId="0" borderId="68" xfId="7" applyFont="1" applyBorder="1" applyAlignment="1" applyProtection="1">
      <alignment horizontal="center" vertical="center"/>
      <protection locked="0"/>
    </xf>
    <xf numFmtId="164" fontId="0" fillId="0" borderId="55" xfId="7" applyFont="1" applyBorder="1" applyAlignment="1" applyProtection="1">
      <alignment horizontal="center" vertical="center"/>
      <protection locked="0"/>
    </xf>
    <xf numFmtId="167" fontId="4" fillId="14" borderId="69" xfId="0" applyNumberFormat="1" applyFont="1" applyFill="1" applyBorder="1" applyAlignment="1">
      <alignment horizontal="center" vertical="center"/>
    </xf>
    <xf numFmtId="167" fontId="4" fillId="14" borderId="55" xfId="0" applyNumberFormat="1" applyFont="1" applyFill="1" applyBorder="1" applyAlignment="1">
      <alignment horizontal="center" vertical="center"/>
    </xf>
    <xf numFmtId="0" fontId="9" fillId="0" borderId="76" xfId="0" applyFont="1" applyBorder="1" applyAlignment="1">
      <alignment horizontal="left" vertical="center"/>
    </xf>
    <xf numFmtId="164" fontId="4" fillId="14" borderId="31" xfId="0" applyNumberFormat="1" applyFont="1" applyFill="1" applyBorder="1" applyAlignment="1">
      <alignment horizontal="center" vertical="center"/>
    </xf>
    <xf numFmtId="164" fontId="4" fillId="14" borderId="27" xfId="0" applyNumberFormat="1" applyFont="1" applyFill="1" applyBorder="1" applyAlignment="1">
      <alignment horizontal="center" vertical="center"/>
    </xf>
    <xf numFmtId="164" fontId="4" fillId="14" borderId="69" xfId="0" applyNumberFormat="1" applyFont="1" applyFill="1" applyBorder="1" applyAlignment="1">
      <alignment horizontal="center" vertical="center"/>
    </xf>
    <xf numFmtId="164" fontId="4" fillId="0" borderId="56" xfId="0" applyNumberFormat="1" applyFont="1" applyBorder="1" applyAlignment="1">
      <alignment horizontal="center" vertical="center"/>
    </xf>
    <xf numFmtId="164" fontId="4" fillId="0" borderId="73" xfId="0" applyNumberFormat="1" applyFont="1" applyBorder="1" applyAlignment="1">
      <alignment horizontal="center" vertical="center"/>
    </xf>
    <xf numFmtId="164" fontId="4" fillId="12" borderId="32" xfId="0" applyNumberFormat="1" applyFont="1" applyFill="1" applyBorder="1" applyAlignment="1">
      <alignment horizontal="center" vertical="center"/>
    </xf>
    <xf numFmtId="164" fontId="4" fillId="12" borderId="75" xfId="0" applyNumberFormat="1" applyFont="1" applyFill="1" applyBorder="1" applyAlignment="1">
      <alignment horizontal="center" vertical="center"/>
    </xf>
    <xf numFmtId="167" fontId="10" fillId="2" borderId="69" xfId="7" applyNumberFormat="1" applyFont="1" applyFill="1" applyBorder="1" applyAlignment="1">
      <alignment horizontal="center" vertical="center"/>
    </xf>
    <xf numFmtId="167" fontId="4" fillId="0" borderId="0" xfId="0" applyNumberFormat="1" applyFont="1" applyBorder="1" applyAlignment="1">
      <alignment horizontal="center" vertical="center"/>
    </xf>
    <xf numFmtId="167" fontId="4" fillId="14" borderId="0" xfId="0" applyNumberFormat="1" applyFont="1" applyFill="1" applyBorder="1" applyAlignment="1">
      <alignment horizontal="center" vertical="center"/>
    </xf>
    <xf numFmtId="164" fontId="4" fillId="12" borderId="33" xfId="0" applyNumberFormat="1" applyFont="1" applyFill="1" applyBorder="1" applyAlignment="1">
      <alignment horizontal="center" vertical="center"/>
    </xf>
    <xf numFmtId="164" fontId="4" fillId="0" borderId="57" xfId="0" applyNumberFormat="1" applyFont="1" applyBorder="1" applyAlignment="1">
      <alignment horizontal="center" vertical="center"/>
    </xf>
    <xf numFmtId="164" fontId="4" fillId="12" borderId="77" xfId="0" applyNumberFormat="1" applyFont="1" applyFill="1" applyBorder="1" applyAlignment="1">
      <alignment horizontal="center" vertical="center"/>
    </xf>
    <xf numFmtId="164" fontId="4" fillId="12" borderId="39" xfId="0" applyNumberFormat="1" applyFont="1" applyFill="1" applyBorder="1" applyAlignment="1">
      <alignment horizontal="center" vertical="center"/>
    </xf>
    <xf numFmtId="167" fontId="4" fillId="14" borderId="25" xfId="0" applyNumberFormat="1" applyFont="1" applyFill="1" applyBorder="1" applyAlignment="1">
      <alignment horizontal="center" vertical="center"/>
    </xf>
    <xf numFmtId="167" fontId="4" fillId="14" borderId="26" xfId="0" applyNumberFormat="1" applyFont="1" applyFill="1" applyBorder="1" applyAlignment="1">
      <alignment horizontal="center" vertical="center"/>
    </xf>
    <xf numFmtId="167" fontId="4" fillId="14" borderId="25" xfId="0" applyNumberFormat="1" applyFont="1" applyFill="1" applyBorder="1" applyAlignment="1">
      <alignment vertical="center"/>
    </xf>
    <xf numFmtId="167" fontId="4" fillId="14" borderId="26" xfId="0" applyNumberFormat="1" applyFont="1" applyFill="1" applyBorder="1" applyAlignment="1">
      <alignment vertical="center"/>
    </xf>
    <xf numFmtId="167" fontId="4" fillId="14" borderId="49" xfId="0" applyNumberFormat="1" applyFont="1" applyFill="1" applyBorder="1" applyAlignment="1">
      <alignment vertical="center"/>
    </xf>
    <xf numFmtId="168" fontId="4" fillId="0" borderId="22" xfId="0" applyNumberFormat="1" applyFont="1" applyBorder="1" applyAlignment="1">
      <alignment horizontal="center" vertical="center"/>
    </xf>
    <xf numFmtId="169" fontId="4" fillId="0" borderId="22" xfId="0" applyNumberFormat="1" applyFont="1" applyBorder="1" applyAlignment="1" applyProtection="1">
      <alignment horizontal="center" vertical="center"/>
      <protection locked="0"/>
    </xf>
    <xf numFmtId="0" fontId="8" fillId="0" borderId="3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23" fillId="0" borderId="34" xfId="0" applyFont="1" applyBorder="1" applyAlignment="1" applyProtection="1">
      <alignment horizontal="center" vertical="center"/>
      <protection locked="0"/>
    </xf>
    <xf numFmtId="0" fontId="23" fillId="0" borderId="27" xfId="0" applyFont="1" applyBorder="1" applyAlignment="1" applyProtection="1">
      <alignment horizontal="center" vertical="center"/>
      <protection locked="0"/>
    </xf>
    <xf numFmtId="0" fontId="23" fillId="0" borderId="31" xfId="0" applyFont="1" applyBorder="1" applyAlignment="1" applyProtection="1">
      <alignment horizontal="center" vertical="center"/>
      <protection locked="0"/>
    </xf>
    <xf numFmtId="0" fontId="23" fillId="0" borderId="35" xfId="0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3" fillId="0" borderId="36" xfId="0" applyFont="1" applyBorder="1" applyAlignment="1" applyProtection="1">
      <alignment horizontal="center" vertical="center"/>
      <protection locked="0"/>
    </xf>
    <xf numFmtId="0" fontId="23" fillId="0" borderId="37" xfId="0" applyFont="1" applyBorder="1" applyAlignment="1" applyProtection="1">
      <alignment horizontal="center" vertical="center"/>
      <protection locked="0"/>
    </xf>
    <xf numFmtId="0" fontId="23" fillId="0" borderId="38" xfId="0" applyFont="1" applyBorder="1" applyAlignment="1" applyProtection="1">
      <alignment horizontal="center" vertical="center"/>
      <protection locked="0"/>
    </xf>
    <xf numFmtId="0" fontId="23" fillId="0" borderId="39" xfId="0" applyFont="1" applyBorder="1" applyAlignment="1" applyProtection="1">
      <alignment horizontal="center" vertical="center"/>
      <protection locked="0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0" fillId="7" borderId="37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0" fontId="24" fillId="7" borderId="23" xfId="0" applyFont="1" applyFill="1" applyBorder="1" applyAlignment="1">
      <alignment horizontal="center" vertical="center"/>
    </xf>
    <xf numFmtId="0" fontId="24" fillId="7" borderId="30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0" fontId="10" fillId="8" borderId="55" xfId="0" applyFont="1" applyFill="1" applyBorder="1" applyAlignment="1">
      <alignment horizontal="center" vertical="center"/>
    </xf>
    <xf numFmtId="164" fontId="10" fillId="8" borderId="69" xfId="0" applyNumberFormat="1" applyFont="1" applyFill="1" applyBorder="1" applyAlignment="1">
      <alignment horizontal="center" vertical="center"/>
    </xf>
    <xf numFmtId="164" fontId="10" fillId="8" borderId="55" xfId="0" applyNumberFormat="1" applyFont="1" applyFill="1" applyBorder="1" applyAlignment="1">
      <alignment horizontal="center" vertical="center"/>
    </xf>
    <xf numFmtId="167" fontId="10" fillId="8" borderId="69" xfId="0" applyNumberFormat="1" applyFont="1" applyFill="1" applyBorder="1" applyAlignment="1">
      <alignment horizontal="center" vertical="center"/>
    </xf>
    <xf numFmtId="167" fontId="10" fillId="8" borderId="55" xfId="0" applyNumberFormat="1" applyFont="1" applyFill="1" applyBorder="1" applyAlignment="1">
      <alignment horizontal="center" vertical="center"/>
    </xf>
    <xf numFmtId="0" fontId="10" fillId="8" borderId="69" xfId="0" applyFont="1" applyFill="1" applyBorder="1" applyAlignment="1">
      <alignment horizontal="center" vertical="center"/>
    </xf>
    <xf numFmtId="167" fontId="10" fillId="2" borderId="23" xfId="7" applyNumberFormat="1" applyFont="1" applyFill="1" applyBorder="1" applyAlignment="1">
      <alignment horizontal="center" vertical="center"/>
    </xf>
    <xf numFmtId="167" fontId="10" fillId="2" borderId="24" xfId="7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167" fontId="4" fillId="0" borderId="59" xfId="0" applyNumberFormat="1" applyFont="1" applyBorder="1" applyAlignment="1">
      <alignment horizontal="center" vertical="center"/>
    </xf>
    <xf numFmtId="167" fontId="4" fillId="0" borderId="33" xfId="0" applyNumberFormat="1" applyFont="1" applyBorder="1" applyAlignment="1">
      <alignment horizontal="center" vertical="center"/>
    </xf>
    <xf numFmtId="167" fontId="4" fillId="0" borderId="57" xfId="0" applyNumberFormat="1" applyFont="1" applyBorder="1" applyAlignment="1">
      <alignment horizontal="center" vertical="center"/>
    </xf>
    <xf numFmtId="167" fontId="4" fillId="0" borderId="77" xfId="0" applyNumberFormat="1" applyFont="1" applyBorder="1" applyAlignment="1">
      <alignment horizontal="center" vertical="center"/>
    </xf>
    <xf numFmtId="168" fontId="10" fillId="9" borderId="55" xfId="0" applyNumberFormat="1" applyFont="1" applyFill="1" applyBorder="1" applyAlignment="1">
      <alignment horizontal="center" vertical="center"/>
    </xf>
    <xf numFmtId="0" fontId="26" fillId="0" borderId="0" xfId="0" applyFont="1"/>
    <xf numFmtId="167" fontId="27" fillId="12" borderId="22" xfId="0" applyNumberFormat="1" applyFont="1" applyFill="1" applyBorder="1" applyAlignment="1">
      <alignment horizontal="center" vertical="center" wrapText="1"/>
    </xf>
    <xf numFmtId="167" fontId="10" fillId="18" borderId="55" xfId="0" applyNumberFormat="1" applyFont="1" applyFill="1" applyBorder="1" applyAlignment="1">
      <alignment horizontal="center" vertical="center"/>
    </xf>
    <xf numFmtId="167" fontId="28" fillId="17" borderId="24" xfId="0" applyNumberFormat="1" applyFont="1" applyFill="1" applyBorder="1" applyAlignment="1">
      <alignment horizontal="center" vertical="center"/>
    </xf>
    <xf numFmtId="167" fontId="4" fillId="19" borderId="34" xfId="0" applyNumberFormat="1" applyFont="1" applyFill="1" applyBorder="1" applyAlignment="1">
      <alignment horizontal="center" vertical="center"/>
    </xf>
    <xf numFmtId="167" fontId="4" fillId="19" borderId="31" xfId="0" applyNumberFormat="1" applyFont="1" applyFill="1" applyBorder="1" applyAlignment="1">
      <alignment horizontal="center" vertical="center"/>
    </xf>
  </cellXfs>
  <cellStyles count="24">
    <cellStyle name="Bottom Border" xfId="15" xr:uid="{00000000-0005-0000-0000-000000000000}"/>
    <cellStyle name="Bottom Green Border" xfId="18" xr:uid="{00000000-0005-0000-0000-000001000000}"/>
    <cellStyle name="Currency" xfId="7" builtinId="4" customBuiltin="1"/>
    <cellStyle name="Date" xfId="22" xr:uid="{00000000-0005-0000-0000-000003000000}"/>
    <cellStyle name="Followed Hyperlink" xfId="1" builtinId="9" hidden="1"/>
    <cellStyle name="Followed Hyperlink" xfId="2" builtinId="9" hidden="1"/>
    <cellStyle name="GrayCell" xfId="3" xr:uid="{00000000-0005-0000-0000-000006000000}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ighlight" xfId="21" xr:uid="{00000000-0005-0000-0000-00000B000000}"/>
    <cellStyle name="Left Border" xfId="6" xr:uid="{00000000-0005-0000-0000-00000C000000}"/>
    <cellStyle name="Left Bottom Green Border" xfId="19" xr:uid="{00000000-0005-0000-0000-00000D000000}"/>
    <cellStyle name="Left Green Border" xfId="16" xr:uid="{00000000-0005-0000-0000-00000E000000}"/>
    <cellStyle name="Normal" xfId="0" builtinId="0"/>
    <cellStyle name="OrangeBorder" xfId="5" xr:uid="{00000000-0005-0000-0000-000010000000}"/>
    <cellStyle name="Right Bottom Green Border" xfId="20" xr:uid="{00000000-0005-0000-0000-000011000000}"/>
    <cellStyle name="Right Green Border" xfId="17" xr:uid="{00000000-0005-0000-0000-000012000000}"/>
    <cellStyle name="Start Text" xfId="9" xr:uid="{00000000-0005-0000-0000-000013000000}"/>
    <cellStyle name="Title" xfId="10" builtinId="15" customBuiltin="1"/>
    <cellStyle name="Year" xfId="23" xr:uid="{00000000-0005-0000-0000-000015000000}"/>
    <cellStyle name="YellowCell" xfId="4" xr:uid="{00000000-0005-0000-0000-000016000000}"/>
    <cellStyle name="z A Column text" xfId="8" xr:uid="{00000000-0005-0000-0000-000017000000}"/>
  </cellStyles>
  <dxfs count="4"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2" defaultTableStyle="CustomTableStyle" defaultPivotStyle="PivotStyleLight16">
    <tableStyle name="CustomTableStyle" pivot="0" count="2" xr9:uid="{00000000-0011-0000-FFFF-FFFF00000000}">
      <tableStyleElement type="headerRow" dxfId="3"/>
      <tableStyleElement type="firstRowStripe" dxfId="2"/>
    </tableStyle>
    <tableStyle name="PivotTable Style 1" table="0" count="2" xr9:uid="{00000000-0011-0000-FFFF-FFFF01000000}">
      <tableStyleElement type="headerRow" dxfId="1"/>
      <tableStyleElement type="totalRow" dxfId="0"/>
    </tableStyle>
  </tableStyles>
  <colors>
    <mruColors>
      <color rgb="FFF4B183"/>
      <color rgb="FF217346"/>
      <color rgb="FFFFFF99"/>
      <color rgb="FF339966"/>
      <color rgb="FFF5F5F5"/>
      <color rgb="FF33AF6B"/>
      <color rgb="FF075509"/>
      <color rgb="FF2E9E61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9" tint="0.59999389629810485"/>
  </sheetPr>
  <dimension ref="B1:H19"/>
  <sheetViews>
    <sheetView zoomScale="130" zoomScaleNormal="130" workbookViewId="0">
      <selection sqref="A1:XFD1048576"/>
    </sheetView>
  </sheetViews>
  <sheetFormatPr defaultColWidth="9.109375" defaultRowHeight="14.4" x14ac:dyDescent="0.3"/>
  <cols>
    <col min="1" max="1" width="3.44140625" style="24" customWidth="1"/>
    <col min="2" max="2" width="23" style="24" customWidth="1"/>
    <col min="3" max="3" width="33.109375" style="24" customWidth="1"/>
    <col min="4" max="4" width="12" style="54" customWidth="1"/>
    <col min="5" max="5" width="12.5546875" style="54" customWidth="1"/>
    <col min="6" max="6" width="12" style="54" customWidth="1"/>
    <col min="7" max="16384" width="9.109375" style="24"/>
  </cols>
  <sheetData>
    <row r="1" spans="2:8" ht="6" customHeight="1" thickBot="1" x14ac:dyDescent="0.35"/>
    <row r="2" spans="2:8" ht="15" customHeight="1" x14ac:dyDescent="0.3">
      <c r="B2" s="290" t="s">
        <v>10</v>
      </c>
      <c r="C2" s="291"/>
      <c r="D2" s="291"/>
      <c r="E2" s="291"/>
      <c r="F2" s="292"/>
      <c r="G2" s="68"/>
      <c r="H2" s="68"/>
    </row>
    <row r="3" spans="2:8" ht="15" customHeight="1" thickBot="1" x14ac:dyDescent="0.35">
      <c r="B3" s="293"/>
      <c r="C3" s="294"/>
      <c r="D3" s="294"/>
      <c r="E3" s="294"/>
      <c r="F3" s="295"/>
      <c r="G3" s="68"/>
      <c r="H3" s="68"/>
    </row>
    <row r="4" spans="2:8" ht="7.5" customHeight="1" thickBot="1" x14ac:dyDescent="0.35"/>
    <row r="5" spans="2:8" ht="20.25" customHeight="1" thickBot="1" x14ac:dyDescent="0.35">
      <c r="B5" s="10" t="s">
        <v>1</v>
      </c>
      <c r="C5" s="11" t="s">
        <v>3</v>
      </c>
      <c r="D5" s="12" t="s">
        <v>2</v>
      </c>
      <c r="E5" s="12" t="s">
        <v>4</v>
      </c>
      <c r="F5" s="13" t="s">
        <v>8</v>
      </c>
    </row>
    <row r="6" spans="2:8" x14ac:dyDescent="0.3">
      <c r="B6" s="103"/>
      <c r="C6" s="100"/>
      <c r="D6" s="67"/>
      <c r="E6" s="67"/>
      <c r="F6" s="86">
        <f>D6-E6</f>
        <v>0</v>
      </c>
    </row>
    <row r="7" spans="2:8" x14ac:dyDescent="0.3">
      <c r="B7" s="104"/>
      <c r="C7" s="101"/>
      <c r="D7" s="67"/>
      <c r="E7" s="67"/>
      <c r="F7" s="86">
        <f t="shared" ref="F7:F18" si="0">D7-E7</f>
        <v>0</v>
      </c>
    </row>
    <row r="8" spans="2:8" x14ac:dyDescent="0.3">
      <c r="B8" s="104"/>
      <c r="C8" s="101"/>
      <c r="D8" s="67"/>
      <c r="E8" s="67"/>
      <c r="F8" s="86">
        <f t="shared" si="0"/>
        <v>0</v>
      </c>
    </row>
    <row r="9" spans="2:8" x14ac:dyDescent="0.3">
      <c r="B9" s="104"/>
      <c r="C9" s="101"/>
      <c r="D9" s="67"/>
      <c r="E9" s="67"/>
      <c r="F9" s="86">
        <f t="shared" si="0"/>
        <v>0</v>
      </c>
    </row>
    <row r="10" spans="2:8" x14ac:dyDescent="0.3">
      <c r="B10" s="104"/>
      <c r="C10" s="101"/>
      <c r="D10" s="67"/>
      <c r="E10" s="67"/>
      <c r="F10" s="86">
        <f t="shared" si="0"/>
        <v>0</v>
      </c>
    </row>
    <row r="11" spans="2:8" x14ac:dyDescent="0.3">
      <c r="B11" s="104"/>
      <c r="C11" s="101"/>
      <c r="D11" s="67"/>
      <c r="E11" s="67"/>
      <c r="F11" s="86">
        <f t="shared" si="0"/>
        <v>0</v>
      </c>
    </row>
    <row r="12" spans="2:8" x14ac:dyDescent="0.3">
      <c r="B12" s="104"/>
      <c r="C12" s="101"/>
      <c r="D12" s="67"/>
      <c r="E12" s="67"/>
      <c r="F12" s="86">
        <f t="shared" si="0"/>
        <v>0</v>
      </c>
    </row>
    <row r="13" spans="2:8" x14ac:dyDescent="0.3">
      <c r="B13" s="104"/>
      <c r="C13" s="101"/>
      <c r="D13" s="67"/>
      <c r="E13" s="67"/>
      <c r="F13" s="86">
        <f t="shared" si="0"/>
        <v>0</v>
      </c>
    </row>
    <row r="14" spans="2:8" x14ac:dyDescent="0.3">
      <c r="B14" s="104"/>
      <c r="C14" s="101"/>
      <c r="D14" s="67"/>
      <c r="E14" s="58"/>
      <c r="F14" s="86">
        <f t="shared" si="0"/>
        <v>0</v>
      </c>
    </row>
    <row r="15" spans="2:8" x14ac:dyDescent="0.3">
      <c r="B15" s="104"/>
      <c r="C15" s="101"/>
      <c r="D15" s="67"/>
      <c r="E15" s="58"/>
      <c r="F15" s="86">
        <f t="shared" si="0"/>
        <v>0</v>
      </c>
    </row>
    <row r="16" spans="2:8" x14ac:dyDescent="0.3">
      <c r="B16" s="104"/>
      <c r="C16" s="101"/>
      <c r="D16" s="67"/>
      <c r="E16" s="58"/>
      <c r="F16" s="86">
        <f t="shared" si="0"/>
        <v>0</v>
      </c>
    </row>
    <row r="17" spans="2:6" x14ac:dyDescent="0.3">
      <c r="B17" s="104"/>
      <c r="C17" s="101"/>
      <c r="D17" s="67"/>
      <c r="E17" s="58"/>
      <c r="F17" s="86">
        <f t="shared" si="0"/>
        <v>0</v>
      </c>
    </row>
    <row r="18" spans="2:6" ht="15" thickBot="1" x14ac:dyDescent="0.35">
      <c r="B18" s="105"/>
      <c r="C18" s="102"/>
      <c r="D18" s="83"/>
      <c r="E18" s="61"/>
      <c r="F18" s="87">
        <f t="shared" si="0"/>
        <v>0</v>
      </c>
    </row>
    <row r="19" spans="2:6" s="20" customFormat="1" ht="18.600000000000001" thickBot="1" x14ac:dyDescent="0.35">
      <c r="C19" s="16" t="s">
        <v>11</v>
      </c>
      <c r="D19" s="17">
        <f>SUM(D6:D18)</f>
        <v>0</v>
      </c>
      <c r="E19" s="18">
        <f t="shared" ref="E19:F19" si="1">SUM(E6:E18)</f>
        <v>0</v>
      </c>
      <c r="F19" s="19">
        <f t="shared" si="1"/>
        <v>0</v>
      </c>
    </row>
  </sheetData>
  <sheetProtection sheet="1" insertRows="0"/>
  <mergeCells count="1">
    <mergeCell ref="B2:F3"/>
  </mergeCells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582D-7B4A-42DA-BF16-126C12AA9733}">
  <dimension ref="B1:K20"/>
  <sheetViews>
    <sheetView zoomScale="120" zoomScaleNormal="120" workbookViewId="0">
      <selection activeCell="G13" sqref="G13"/>
    </sheetView>
  </sheetViews>
  <sheetFormatPr defaultColWidth="8.88671875" defaultRowHeight="14.4" x14ac:dyDescent="0.3"/>
  <cols>
    <col min="1" max="1" width="1.6640625" style="232" customWidth="1"/>
    <col min="2" max="2" width="23" style="232" customWidth="1"/>
    <col min="3" max="3" width="31.6640625" style="232" customWidth="1"/>
    <col min="4" max="4" width="12.44140625" style="233" customWidth="1"/>
    <col min="5" max="5" width="15.6640625" style="233" customWidth="1"/>
    <col min="6" max="6" width="13.109375" style="233" customWidth="1"/>
    <col min="7" max="7" width="10.44140625" style="233" customWidth="1"/>
    <col min="8" max="8" width="18.88671875" style="234" customWidth="1"/>
    <col min="9" max="9" width="14.88671875" style="234" customWidth="1"/>
    <col min="10" max="10" width="28.5546875" style="232" customWidth="1"/>
    <col min="11" max="16384" width="8.88671875" style="232"/>
  </cols>
  <sheetData>
    <row r="1" spans="2:11" ht="11.25" customHeight="1" thickBot="1" x14ac:dyDescent="0.35"/>
    <row r="2" spans="2:11" ht="15" customHeight="1" x14ac:dyDescent="0.3">
      <c r="B2" s="296" t="s">
        <v>60</v>
      </c>
      <c r="C2" s="297"/>
      <c r="D2" s="297"/>
      <c r="E2" s="297"/>
      <c r="F2" s="297"/>
      <c r="G2" s="297"/>
      <c r="H2" s="297"/>
      <c r="I2" s="297"/>
      <c r="J2" s="298"/>
      <c r="K2" s="235"/>
    </row>
    <row r="3" spans="2:11" ht="15" customHeight="1" x14ac:dyDescent="0.3">
      <c r="B3" s="299"/>
      <c r="C3" s="300"/>
      <c r="D3" s="300"/>
      <c r="E3" s="300"/>
      <c r="F3" s="300"/>
      <c r="G3" s="300"/>
      <c r="H3" s="300"/>
      <c r="I3" s="300"/>
      <c r="J3" s="301"/>
      <c r="K3" s="235"/>
    </row>
    <row r="4" spans="2:11" ht="7.5" customHeight="1" thickBot="1" x14ac:dyDescent="0.35">
      <c r="B4" s="302"/>
      <c r="C4" s="303"/>
      <c r="D4" s="303"/>
      <c r="E4" s="303"/>
      <c r="F4" s="303"/>
      <c r="G4" s="303"/>
      <c r="H4" s="303"/>
      <c r="I4" s="303"/>
      <c r="J4" s="304"/>
      <c r="K4" s="235"/>
    </row>
    <row r="5" spans="2:11" ht="7.5" customHeight="1" thickBot="1" x14ac:dyDescent="0.35"/>
    <row r="6" spans="2:11" s="242" customFormat="1" ht="18.75" customHeight="1" thickBot="1" x14ac:dyDescent="0.35">
      <c r="B6" s="236" t="s">
        <v>1</v>
      </c>
      <c r="C6" s="237" t="s">
        <v>3</v>
      </c>
      <c r="D6" s="238" t="s">
        <v>49</v>
      </c>
      <c r="E6" s="238" t="s">
        <v>48</v>
      </c>
      <c r="F6" s="238" t="s">
        <v>4</v>
      </c>
      <c r="G6" s="238" t="s">
        <v>28</v>
      </c>
      <c r="H6" s="239" t="s">
        <v>50</v>
      </c>
      <c r="I6" s="240" t="s">
        <v>6</v>
      </c>
      <c r="J6" s="241" t="s">
        <v>22</v>
      </c>
    </row>
    <row r="7" spans="2:11" x14ac:dyDescent="0.3">
      <c r="B7" s="175"/>
      <c r="C7" s="205"/>
      <c r="D7" s="201"/>
      <c r="E7" s="155"/>
      <c r="F7" s="152"/>
      <c r="G7" s="67"/>
      <c r="H7" s="79">
        <f>D7*0.7+E7*0.8</f>
        <v>0</v>
      </c>
      <c r="I7" s="223">
        <f>D7+E7-H7</f>
        <v>0</v>
      </c>
      <c r="J7" s="97"/>
    </row>
    <row r="8" spans="2:11" x14ac:dyDescent="0.3">
      <c r="B8" s="176"/>
      <c r="C8" s="206"/>
      <c r="D8" s="202"/>
      <c r="E8" s="156"/>
      <c r="F8" s="153"/>
      <c r="G8" s="67"/>
      <c r="H8" s="79">
        <f t="shared" ref="H8:H18" si="0">D8*0.7+E8*0.8</f>
        <v>0</v>
      </c>
      <c r="I8" s="223">
        <f t="shared" ref="I8:I18" si="1">D8+E8-H8</f>
        <v>0</v>
      </c>
      <c r="J8" s="73"/>
    </row>
    <row r="9" spans="2:11" x14ac:dyDescent="0.3">
      <c r="B9" s="176"/>
      <c r="C9" s="206"/>
      <c r="D9" s="202"/>
      <c r="E9" s="156"/>
      <c r="F9" s="153"/>
      <c r="G9" s="67"/>
      <c r="H9" s="79">
        <f t="shared" si="0"/>
        <v>0</v>
      </c>
      <c r="I9" s="223">
        <f t="shared" si="1"/>
        <v>0</v>
      </c>
      <c r="J9" s="73"/>
    </row>
    <row r="10" spans="2:11" x14ac:dyDescent="0.3">
      <c r="B10" s="176"/>
      <c r="C10" s="206"/>
      <c r="D10" s="202"/>
      <c r="E10" s="156"/>
      <c r="F10" s="153"/>
      <c r="G10" s="67"/>
      <c r="H10" s="79">
        <f t="shared" si="0"/>
        <v>0</v>
      </c>
      <c r="I10" s="223">
        <f t="shared" si="1"/>
        <v>0</v>
      </c>
      <c r="J10" s="73"/>
    </row>
    <row r="11" spans="2:11" x14ac:dyDescent="0.3">
      <c r="B11" s="176"/>
      <c r="C11" s="206"/>
      <c r="D11" s="202"/>
      <c r="E11" s="156"/>
      <c r="F11" s="153"/>
      <c r="G11" s="67"/>
      <c r="H11" s="79">
        <f t="shared" si="0"/>
        <v>0</v>
      </c>
      <c r="I11" s="223">
        <f t="shared" si="1"/>
        <v>0</v>
      </c>
      <c r="J11" s="73"/>
    </row>
    <row r="12" spans="2:11" x14ac:dyDescent="0.3">
      <c r="B12" s="176"/>
      <c r="C12" s="206"/>
      <c r="D12" s="202"/>
      <c r="E12" s="156"/>
      <c r="F12" s="153"/>
      <c r="G12" s="67"/>
      <c r="H12" s="79">
        <f t="shared" si="0"/>
        <v>0</v>
      </c>
      <c r="I12" s="223">
        <f t="shared" si="1"/>
        <v>0</v>
      </c>
      <c r="J12" s="73"/>
    </row>
    <row r="13" spans="2:11" x14ac:dyDescent="0.3">
      <c r="B13" s="176"/>
      <c r="C13" s="206"/>
      <c r="D13" s="202"/>
      <c r="E13" s="156"/>
      <c r="F13" s="153"/>
      <c r="G13" s="67"/>
      <c r="H13" s="79">
        <f t="shared" si="0"/>
        <v>0</v>
      </c>
      <c r="I13" s="223">
        <f t="shared" si="1"/>
        <v>0</v>
      </c>
      <c r="J13" s="73"/>
    </row>
    <row r="14" spans="2:11" x14ac:dyDescent="0.3">
      <c r="B14" s="176"/>
      <c r="C14" s="206"/>
      <c r="D14" s="202"/>
      <c r="E14" s="156"/>
      <c r="F14" s="153"/>
      <c r="G14" s="67"/>
      <c r="H14" s="79">
        <f t="shared" si="0"/>
        <v>0</v>
      </c>
      <c r="I14" s="223">
        <f t="shared" si="1"/>
        <v>0</v>
      </c>
      <c r="J14" s="73"/>
    </row>
    <row r="15" spans="2:11" x14ac:dyDescent="0.3">
      <c r="B15" s="176"/>
      <c r="C15" s="206"/>
      <c r="D15" s="202"/>
      <c r="E15" s="156"/>
      <c r="F15" s="153"/>
      <c r="G15" s="67"/>
      <c r="H15" s="79">
        <f t="shared" si="0"/>
        <v>0</v>
      </c>
      <c r="I15" s="223">
        <f t="shared" si="1"/>
        <v>0</v>
      </c>
      <c r="J15" s="73"/>
    </row>
    <row r="16" spans="2:11" x14ac:dyDescent="0.3">
      <c r="B16" s="176"/>
      <c r="C16" s="206"/>
      <c r="D16" s="202"/>
      <c r="E16" s="156"/>
      <c r="F16" s="153"/>
      <c r="G16" s="67"/>
      <c r="H16" s="79">
        <f t="shared" si="0"/>
        <v>0</v>
      </c>
      <c r="I16" s="223">
        <f t="shared" si="1"/>
        <v>0</v>
      </c>
      <c r="J16" s="73"/>
    </row>
    <row r="17" spans="2:10" x14ac:dyDescent="0.3">
      <c r="B17" s="176"/>
      <c r="C17" s="206"/>
      <c r="D17" s="202"/>
      <c r="E17" s="156"/>
      <c r="F17" s="153"/>
      <c r="G17" s="67"/>
      <c r="H17" s="79">
        <f t="shared" si="0"/>
        <v>0</v>
      </c>
      <c r="I17" s="223">
        <f t="shared" si="1"/>
        <v>0</v>
      </c>
      <c r="J17" s="73"/>
    </row>
    <row r="18" spans="2:10" ht="15" thickBot="1" x14ac:dyDescent="0.35">
      <c r="B18" s="177"/>
      <c r="C18" s="207"/>
      <c r="D18" s="203"/>
      <c r="E18" s="157"/>
      <c r="F18" s="154"/>
      <c r="G18" s="150"/>
      <c r="H18" s="79">
        <f t="shared" si="0"/>
        <v>0</v>
      </c>
      <c r="I18" s="223">
        <f t="shared" si="1"/>
        <v>0</v>
      </c>
      <c r="J18" s="74"/>
    </row>
    <row r="19" spans="2:10" s="242" customFormat="1" ht="18.600000000000001" thickBot="1" x14ac:dyDescent="0.35">
      <c r="C19" s="243" t="s">
        <v>18</v>
      </c>
      <c r="D19" s="227">
        <f t="shared" ref="D19:I19" si="2">SUM(D7:D18)</f>
        <v>0</v>
      </c>
      <c r="E19" s="229">
        <f t="shared" si="2"/>
        <v>0</v>
      </c>
      <c r="F19" s="230">
        <f t="shared" si="2"/>
        <v>0</v>
      </c>
      <c r="G19" s="231">
        <f t="shared" si="2"/>
        <v>0</v>
      </c>
      <c r="H19" s="221">
        <f t="shared" si="2"/>
        <v>0</v>
      </c>
      <c r="I19" s="224">
        <f t="shared" si="2"/>
        <v>0</v>
      </c>
      <c r="J19" s="244"/>
    </row>
    <row r="20" spans="2:10" ht="36.6" thickBot="1" x14ac:dyDescent="0.35">
      <c r="B20" s="244"/>
      <c r="C20" s="245" t="s">
        <v>11</v>
      </c>
      <c r="D20" s="228">
        <f>D19+E19-F19</f>
        <v>0</v>
      </c>
      <c r="G20" s="246" t="s">
        <v>52</v>
      </c>
      <c r="H20" s="222">
        <f>H19+G19</f>
        <v>0</v>
      </c>
      <c r="I20" s="225" t="s">
        <v>21</v>
      </c>
      <c r="J20" s="226">
        <f>D20-H20</f>
        <v>0</v>
      </c>
    </row>
  </sheetData>
  <sheetProtection sheet="1" formatColumns="0"/>
  <mergeCells count="1">
    <mergeCell ref="B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873F-082B-47B0-8C0C-647F82BC1638}">
  <sheetPr>
    <tabColor theme="0"/>
  </sheetPr>
  <dimension ref="B1:J19"/>
  <sheetViews>
    <sheetView zoomScale="136" zoomScaleNormal="136" workbookViewId="0">
      <selection activeCell="D19" sqref="D19"/>
    </sheetView>
  </sheetViews>
  <sheetFormatPr defaultRowHeight="14.4" x14ac:dyDescent="0.3"/>
  <cols>
    <col min="1" max="1" width="2.109375" customWidth="1"/>
    <col min="2" max="2" width="21" customWidth="1"/>
    <col min="3" max="3" width="29.6640625" customWidth="1"/>
    <col min="4" max="4" width="12.33203125" style="1" customWidth="1"/>
    <col min="5" max="5" width="10.88671875" style="1" customWidth="1"/>
    <col min="6" max="6" width="13.109375" style="1" customWidth="1"/>
    <col min="7" max="7" width="19.33203125" style="3" customWidth="1"/>
    <col min="8" max="8" width="18.33203125" style="3" customWidth="1"/>
    <col min="9" max="9" width="22.6640625" customWidth="1"/>
  </cols>
  <sheetData>
    <row r="1" spans="2:10" ht="6.75" customHeight="1" thickBot="1" x14ac:dyDescent="0.35"/>
    <row r="2" spans="2:10" ht="15" customHeight="1" x14ac:dyDescent="0.3">
      <c r="B2" s="290" t="s">
        <v>39</v>
      </c>
      <c r="C2" s="291"/>
      <c r="D2" s="291"/>
      <c r="E2" s="291"/>
      <c r="F2" s="291"/>
      <c r="G2" s="291"/>
      <c r="H2" s="291"/>
      <c r="I2" s="292"/>
      <c r="J2" s="2"/>
    </row>
    <row r="3" spans="2:10" ht="7.5" customHeight="1" x14ac:dyDescent="0.3">
      <c r="B3" s="305"/>
      <c r="C3" s="306"/>
      <c r="D3" s="306"/>
      <c r="E3" s="306"/>
      <c r="F3" s="306"/>
      <c r="G3" s="306"/>
      <c r="H3" s="306"/>
      <c r="I3" s="307"/>
      <c r="J3" s="2"/>
    </row>
    <row r="4" spans="2:10" ht="7.5" customHeight="1" thickBot="1" x14ac:dyDescent="0.35">
      <c r="B4" s="293"/>
      <c r="C4" s="294"/>
      <c r="D4" s="294"/>
      <c r="E4" s="294"/>
      <c r="F4" s="294"/>
      <c r="G4" s="294"/>
      <c r="H4" s="294"/>
      <c r="I4" s="295"/>
      <c r="J4" s="2"/>
    </row>
    <row r="5" spans="2:10" ht="7.5" customHeight="1" thickBot="1" x14ac:dyDescent="0.35"/>
    <row r="6" spans="2:10" s="23" customFormat="1" ht="18.75" customHeight="1" thickBot="1" x14ac:dyDescent="0.4">
      <c r="B6" s="90" t="s">
        <v>1</v>
      </c>
      <c r="C6" s="91" t="s">
        <v>3</v>
      </c>
      <c r="D6" s="92" t="s">
        <v>2</v>
      </c>
      <c r="E6" s="92" t="s">
        <v>4</v>
      </c>
      <c r="F6" s="142" t="s">
        <v>28</v>
      </c>
      <c r="G6" s="143" t="s">
        <v>38</v>
      </c>
      <c r="H6" s="146" t="s">
        <v>6</v>
      </c>
      <c r="I6" s="149" t="s">
        <v>22</v>
      </c>
    </row>
    <row r="7" spans="2:10" x14ac:dyDescent="0.3">
      <c r="B7" s="106"/>
      <c r="C7" s="107"/>
      <c r="D7" s="88"/>
      <c r="E7" s="88"/>
      <c r="F7" s="88"/>
      <c r="G7" s="85">
        <f>D7*0.7</f>
        <v>0</v>
      </c>
      <c r="H7" s="147">
        <f>D7*0.3-E7</f>
        <v>0</v>
      </c>
      <c r="I7" s="89"/>
    </row>
    <row r="8" spans="2:10" x14ac:dyDescent="0.3">
      <c r="B8" s="108"/>
      <c r="C8" s="109"/>
      <c r="D8" s="76"/>
      <c r="E8" s="76"/>
      <c r="F8" s="75"/>
      <c r="G8" s="141">
        <f t="shared" ref="G8:G17" si="0">D8*0.7</f>
        <v>0</v>
      </c>
      <c r="H8" s="147">
        <f t="shared" ref="H8:H17" si="1">D8*0.3-E8</f>
        <v>0</v>
      </c>
      <c r="I8" s="70"/>
    </row>
    <row r="9" spans="2:10" x14ac:dyDescent="0.3">
      <c r="B9" s="108"/>
      <c r="C9" s="109"/>
      <c r="D9" s="76"/>
      <c r="E9" s="76"/>
      <c r="F9" s="75"/>
      <c r="G9" s="141">
        <f t="shared" si="0"/>
        <v>0</v>
      </c>
      <c r="H9" s="147">
        <f t="shared" si="1"/>
        <v>0</v>
      </c>
      <c r="I9" s="70"/>
    </row>
    <row r="10" spans="2:10" x14ac:dyDescent="0.3">
      <c r="B10" s="108"/>
      <c r="C10" s="109"/>
      <c r="D10" s="76"/>
      <c r="E10" s="76"/>
      <c r="F10" s="75"/>
      <c r="G10" s="141">
        <f t="shared" si="0"/>
        <v>0</v>
      </c>
      <c r="H10" s="147">
        <f t="shared" si="1"/>
        <v>0</v>
      </c>
      <c r="I10" s="70"/>
    </row>
    <row r="11" spans="2:10" x14ac:dyDescent="0.3">
      <c r="B11" s="108"/>
      <c r="C11" s="109"/>
      <c r="D11" s="76"/>
      <c r="E11" s="76"/>
      <c r="F11" s="75"/>
      <c r="G11" s="141">
        <f t="shared" si="0"/>
        <v>0</v>
      </c>
      <c r="H11" s="147">
        <f t="shared" si="1"/>
        <v>0</v>
      </c>
      <c r="I11" s="70"/>
    </row>
    <row r="12" spans="2:10" x14ac:dyDescent="0.3">
      <c r="B12" s="108"/>
      <c r="C12" s="109"/>
      <c r="D12" s="76"/>
      <c r="E12" s="76"/>
      <c r="F12" s="75"/>
      <c r="G12" s="141">
        <f t="shared" si="0"/>
        <v>0</v>
      </c>
      <c r="H12" s="147">
        <f t="shared" si="1"/>
        <v>0</v>
      </c>
      <c r="I12" s="70"/>
    </row>
    <row r="13" spans="2:10" x14ac:dyDescent="0.3">
      <c r="B13" s="108"/>
      <c r="C13" s="109"/>
      <c r="D13" s="76"/>
      <c r="E13" s="76"/>
      <c r="F13" s="75"/>
      <c r="G13" s="141">
        <f t="shared" si="0"/>
        <v>0</v>
      </c>
      <c r="H13" s="147">
        <f t="shared" si="1"/>
        <v>0</v>
      </c>
      <c r="I13" s="70"/>
    </row>
    <row r="14" spans="2:10" x14ac:dyDescent="0.3">
      <c r="B14" s="108"/>
      <c r="C14" s="109"/>
      <c r="D14" s="76"/>
      <c r="E14" s="76"/>
      <c r="F14" s="75"/>
      <c r="G14" s="141">
        <f t="shared" si="0"/>
        <v>0</v>
      </c>
      <c r="H14" s="147">
        <f t="shared" si="1"/>
        <v>0</v>
      </c>
      <c r="I14" s="70"/>
    </row>
    <row r="15" spans="2:10" x14ac:dyDescent="0.3">
      <c r="B15" s="108"/>
      <c r="C15" s="109"/>
      <c r="D15" s="76"/>
      <c r="E15" s="76"/>
      <c r="F15" s="75"/>
      <c r="G15" s="141">
        <f t="shared" si="0"/>
        <v>0</v>
      </c>
      <c r="H15" s="147">
        <f t="shared" si="1"/>
        <v>0</v>
      </c>
      <c r="I15" s="70"/>
    </row>
    <row r="16" spans="2:10" x14ac:dyDescent="0.3">
      <c r="B16" s="108"/>
      <c r="C16" s="109"/>
      <c r="D16" s="76"/>
      <c r="E16" s="76"/>
      <c r="F16" s="75"/>
      <c r="G16" s="141">
        <f t="shared" si="0"/>
        <v>0</v>
      </c>
      <c r="H16" s="147">
        <f t="shared" si="1"/>
        <v>0</v>
      </c>
      <c r="I16" s="70"/>
    </row>
    <row r="17" spans="2:9" ht="15" thickBot="1" x14ac:dyDescent="0.35">
      <c r="B17" s="110"/>
      <c r="C17" s="111"/>
      <c r="D17" s="77"/>
      <c r="E17" s="77"/>
      <c r="F17" s="78"/>
      <c r="G17" s="145">
        <f t="shared" si="0"/>
        <v>0</v>
      </c>
      <c r="H17" s="148">
        <f t="shared" si="1"/>
        <v>0</v>
      </c>
      <c r="I17" s="71"/>
    </row>
    <row r="18" spans="2:9" s="23" customFormat="1" ht="18.600000000000001" thickBot="1" x14ac:dyDescent="0.4">
      <c r="B18" s="93"/>
      <c r="C18" s="94" t="s">
        <v>18</v>
      </c>
      <c r="D18" s="95">
        <f>SUM(D7:D17)</f>
        <v>0</v>
      </c>
      <c r="E18" s="96">
        <f>SUM(E7:E17)</f>
        <v>0</v>
      </c>
      <c r="F18" s="144">
        <f>SUM(F7:F17)</f>
        <v>0</v>
      </c>
      <c r="G18" s="143">
        <f>SUM(G7:G17)</f>
        <v>0</v>
      </c>
      <c r="H18" s="143">
        <f>SUM(H7:H17)</f>
        <v>0</v>
      </c>
      <c r="I18" s="69"/>
    </row>
    <row r="19" spans="2:9" s="24" customFormat="1" ht="41.25" customHeight="1" thickBot="1" x14ac:dyDescent="0.35">
      <c r="C19" s="40" t="s">
        <v>11</v>
      </c>
      <c r="D19" s="47">
        <f>D18-E18</f>
        <v>0</v>
      </c>
      <c r="E19" s="25"/>
      <c r="F19" s="29" t="s">
        <v>20</v>
      </c>
      <c r="G19" s="34">
        <f>IF(G18=0,0,G18)</f>
        <v>0</v>
      </c>
      <c r="H19" s="36" t="s">
        <v>21</v>
      </c>
      <c r="I19" s="33">
        <f>D19-G19</f>
        <v>0</v>
      </c>
    </row>
  </sheetData>
  <sheetProtection sheet="1" objects="1" scenarios="1" formatColumns="0"/>
  <mergeCells count="1">
    <mergeCell ref="B2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2ACF-6029-419D-983B-84347CB3F7E4}">
  <dimension ref="B1:I17"/>
  <sheetViews>
    <sheetView zoomScale="140" zoomScaleNormal="140" workbookViewId="0">
      <selection activeCell="D6" sqref="D6"/>
    </sheetView>
  </sheetViews>
  <sheetFormatPr defaultColWidth="9.109375" defaultRowHeight="14.4" x14ac:dyDescent="0.3"/>
  <cols>
    <col min="1" max="1" width="2" style="24" customWidth="1"/>
    <col min="2" max="2" width="20.109375" style="24" customWidth="1"/>
    <col min="3" max="3" width="32.5546875" style="24" customWidth="1"/>
    <col min="4" max="4" width="13.88671875" style="25" customWidth="1"/>
    <col min="5" max="5" width="12.88671875" style="25" customWidth="1"/>
    <col min="6" max="6" width="15.6640625" style="25" customWidth="1"/>
    <col min="7" max="7" width="16.5546875" style="54" customWidth="1"/>
    <col min="8" max="8" width="32.21875" style="54" bestFit="1" customWidth="1"/>
    <col min="9" max="16384" width="9.109375" style="24"/>
  </cols>
  <sheetData>
    <row r="1" spans="2:9" ht="8.25" customHeight="1" thickBot="1" x14ac:dyDescent="0.35"/>
    <row r="2" spans="2:9" ht="15" customHeight="1" x14ac:dyDescent="0.3">
      <c r="B2" s="290" t="s">
        <v>7</v>
      </c>
      <c r="C2" s="291"/>
      <c r="D2" s="291"/>
      <c r="E2" s="291"/>
      <c r="F2" s="291"/>
      <c r="G2" s="291"/>
      <c r="H2" s="292"/>
      <c r="I2" s="68"/>
    </row>
    <row r="3" spans="2:9" ht="15" customHeight="1" thickBot="1" x14ac:dyDescent="0.35">
      <c r="B3" s="293"/>
      <c r="C3" s="294"/>
      <c r="D3" s="294"/>
      <c r="E3" s="294"/>
      <c r="F3" s="294"/>
      <c r="G3" s="294"/>
      <c r="H3" s="295"/>
      <c r="I3" s="68"/>
    </row>
    <row r="4" spans="2:9" ht="6" customHeight="1" thickBot="1" x14ac:dyDescent="0.35"/>
    <row r="5" spans="2:9" s="21" customFormat="1" ht="20.25" customHeight="1" thickBot="1" x14ac:dyDescent="0.35">
      <c r="B5" s="26" t="s">
        <v>1</v>
      </c>
      <c r="C5" s="184" t="s">
        <v>3</v>
      </c>
      <c r="D5" s="31" t="s">
        <v>2</v>
      </c>
      <c r="E5" s="18" t="s">
        <v>4</v>
      </c>
      <c r="F5" s="18" t="s">
        <v>28</v>
      </c>
      <c r="G5" s="188" t="s">
        <v>6</v>
      </c>
      <c r="H5" s="28" t="s">
        <v>22</v>
      </c>
    </row>
    <row r="6" spans="2:9" x14ac:dyDescent="0.3">
      <c r="B6" s="175"/>
      <c r="C6" s="185"/>
      <c r="D6" s="67"/>
      <c r="E6" s="67"/>
      <c r="F6" s="67"/>
      <c r="G6" s="179">
        <f>D6-E6</f>
        <v>0</v>
      </c>
      <c r="H6" s="189"/>
    </row>
    <row r="7" spans="2:9" x14ac:dyDescent="0.3">
      <c r="B7" s="176"/>
      <c r="C7" s="185"/>
      <c r="D7" s="67"/>
      <c r="E7" s="58"/>
      <c r="F7" s="67"/>
      <c r="G7" s="179">
        <f t="shared" ref="G7:G15" si="0">D7-E7</f>
        <v>0</v>
      </c>
      <c r="H7" s="73"/>
    </row>
    <row r="8" spans="2:9" x14ac:dyDescent="0.3">
      <c r="B8" s="176"/>
      <c r="C8" s="186"/>
      <c r="D8" s="58"/>
      <c r="E8" s="58"/>
      <c r="F8" s="67"/>
      <c r="G8" s="179">
        <f t="shared" si="0"/>
        <v>0</v>
      </c>
      <c r="H8" s="73"/>
    </row>
    <row r="9" spans="2:9" x14ac:dyDescent="0.3">
      <c r="B9" s="176"/>
      <c r="C9" s="185"/>
      <c r="D9" s="58"/>
      <c r="E9" s="58"/>
      <c r="F9" s="67"/>
      <c r="G9" s="179">
        <f t="shared" si="0"/>
        <v>0</v>
      </c>
      <c r="H9" s="73"/>
    </row>
    <row r="10" spans="2:9" x14ac:dyDescent="0.3">
      <c r="B10" s="176"/>
      <c r="C10" s="186"/>
      <c r="D10" s="58"/>
      <c r="E10" s="58"/>
      <c r="F10" s="67"/>
      <c r="G10" s="179">
        <f t="shared" si="0"/>
        <v>0</v>
      </c>
      <c r="H10" s="73"/>
    </row>
    <row r="11" spans="2:9" x14ac:dyDescent="0.3">
      <c r="B11" s="176"/>
      <c r="C11" s="186"/>
      <c r="D11" s="58"/>
      <c r="E11" s="58"/>
      <c r="F11" s="67"/>
      <c r="G11" s="179">
        <f t="shared" si="0"/>
        <v>0</v>
      </c>
      <c r="H11" s="73"/>
    </row>
    <row r="12" spans="2:9" x14ac:dyDescent="0.3">
      <c r="B12" s="176"/>
      <c r="C12" s="186"/>
      <c r="D12" s="58"/>
      <c r="E12" s="58"/>
      <c r="F12" s="67"/>
      <c r="G12" s="179">
        <f t="shared" si="0"/>
        <v>0</v>
      </c>
      <c r="H12" s="73"/>
    </row>
    <row r="13" spans="2:9" x14ac:dyDescent="0.3">
      <c r="B13" s="176"/>
      <c r="C13" s="186"/>
      <c r="D13" s="58"/>
      <c r="E13" s="58"/>
      <c r="F13" s="67"/>
      <c r="G13" s="179">
        <f t="shared" si="0"/>
        <v>0</v>
      </c>
      <c r="H13" s="73"/>
    </row>
    <row r="14" spans="2:9" x14ac:dyDescent="0.3">
      <c r="B14" s="176"/>
      <c r="C14" s="186"/>
      <c r="D14" s="58"/>
      <c r="E14" s="58"/>
      <c r="F14" s="67"/>
      <c r="G14" s="179">
        <f t="shared" si="0"/>
        <v>0</v>
      </c>
      <c r="H14" s="73"/>
    </row>
    <row r="15" spans="2:9" ht="15" thickBot="1" x14ac:dyDescent="0.35">
      <c r="B15" s="177"/>
      <c r="C15" s="187"/>
      <c r="D15" s="180"/>
      <c r="E15" s="180"/>
      <c r="F15" s="150"/>
      <c r="G15" s="181">
        <f t="shared" si="0"/>
        <v>0</v>
      </c>
      <c r="H15" s="74"/>
    </row>
    <row r="16" spans="2:9" s="21" customFormat="1" ht="18.600000000000001" thickBot="1" x14ac:dyDescent="0.35">
      <c r="C16" s="30" t="s">
        <v>18</v>
      </c>
      <c r="D16" s="195">
        <f>SUM(D6:D15)</f>
        <v>0</v>
      </c>
      <c r="E16" s="196">
        <f>SUM(E6:E15)</f>
        <v>0</v>
      </c>
      <c r="F16" s="197">
        <f>SUM(F6:F15)</f>
        <v>0</v>
      </c>
      <c r="G16" s="196">
        <f>SUM(G6:G15)</f>
        <v>0</v>
      </c>
    </row>
    <row r="17" spans="3:8" ht="39" customHeight="1" thickBot="1" x14ac:dyDescent="0.35">
      <c r="C17" s="36" t="s">
        <v>11</v>
      </c>
      <c r="D17" s="47">
        <f>D16-E16</f>
        <v>0</v>
      </c>
      <c r="F17" s="36" t="s">
        <v>21</v>
      </c>
      <c r="G17" s="204">
        <f>D17+F16</f>
        <v>0</v>
      </c>
      <c r="H17" s="24"/>
    </row>
  </sheetData>
  <sheetProtection formatColumns="0" insertRows="0" deleteRows="0"/>
  <mergeCells count="1">
    <mergeCell ref="B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5" tint="0.79998168889431442"/>
  </sheetPr>
  <dimension ref="B1:I18"/>
  <sheetViews>
    <sheetView zoomScale="140" zoomScaleNormal="140" workbookViewId="0">
      <selection activeCell="B9" sqref="B9"/>
    </sheetView>
  </sheetViews>
  <sheetFormatPr defaultColWidth="9.109375" defaultRowHeight="14.4" x14ac:dyDescent="0.3"/>
  <cols>
    <col min="1" max="1" width="2.5546875" style="24" customWidth="1"/>
    <col min="2" max="2" width="26.5546875" style="24" customWidth="1"/>
    <col min="3" max="3" width="29.5546875" style="24" customWidth="1"/>
    <col min="4" max="4" width="10.5546875" style="25" customWidth="1"/>
    <col min="5" max="5" width="11.109375" style="25" customWidth="1"/>
    <col min="6" max="6" width="10.109375" style="25" customWidth="1"/>
    <col min="7" max="7" width="13.5546875" style="54" customWidth="1"/>
    <col min="8" max="8" width="14.109375" style="54" customWidth="1"/>
    <col min="9" max="9" width="25" style="24" customWidth="1"/>
    <col min="10" max="10" width="5.33203125" style="24" customWidth="1"/>
    <col min="11" max="11" width="16.33203125" style="24" customWidth="1"/>
    <col min="12" max="12" width="14.5546875" style="24" bestFit="1" customWidth="1"/>
    <col min="13" max="13" width="20.109375" style="24" bestFit="1" customWidth="1"/>
    <col min="14" max="15" width="9.109375" style="24"/>
    <col min="16" max="16" width="12.6640625" style="24" bestFit="1" customWidth="1"/>
    <col min="17" max="17" width="12.5546875" style="24" bestFit="1" customWidth="1"/>
    <col min="18" max="18" width="17.44140625" style="24" customWidth="1"/>
    <col min="19" max="16384" width="9.109375" style="24"/>
  </cols>
  <sheetData>
    <row r="1" spans="2:9" ht="3.75" customHeight="1" thickBot="1" x14ac:dyDescent="0.35"/>
    <row r="2" spans="2:9" ht="15" customHeight="1" x14ac:dyDescent="0.3">
      <c r="B2" s="290" t="s">
        <v>0</v>
      </c>
      <c r="C2" s="291"/>
      <c r="D2" s="291"/>
      <c r="E2" s="291"/>
      <c r="F2" s="291"/>
      <c r="G2" s="291"/>
      <c r="H2" s="291"/>
      <c r="I2" s="292"/>
    </row>
    <row r="3" spans="2:9" ht="15" customHeight="1" thickBot="1" x14ac:dyDescent="0.35">
      <c r="B3" s="293"/>
      <c r="C3" s="294"/>
      <c r="D3" s="294"/>
      <c r="E3" s="294"/>
      <c r="F3" s="294"/>
      <c r="G3" s="294"/>
      <c r="H3" s="294"/>
      <c r="I3" s="295"/>
    </row>
    <row r="4" spans="2:9" ht="5.25" customHeight="1" thickBot="1" x14ac:dyDescent="0.35"/>
    <row r="5" spans="2:9" s="21" customFormat="1" ht="35.25" customHeight="1" thickBot="1" x14ac:dyDescent="0.35">
      <c r="B5" s="190" t="s">
        <v>1</v>
      </c>
      <c r="C5" s="191" t="s">
        <v>3</v>
      </c>
      <c r="D5" s="22" t="s">
        <v>23</v>
      </c>
      <c r="E5" s="22" t="s">
        <v>4</v>
      </c>
      <c r="F5" s="192" t="s">
        <v>28</v>
      </c>
      <c r="G5" s="193" t="s">
        <v>46</v>
      </c>
      <c r="H5" s="194" t="s">
        <v>45</v>
      </c>
      <c r="I5" s="19" t="s">
        <v>22</v>
      </c>
    </row>
    <row r="6" spans="2:9" x14ac:dyDescent="0.3">
      <c r="B6" s="175"/>
      <c r="C6" s="185"/>
      <c r="D6" s="152"/>
      <c r="E6" s="152"/>
      <c r="F6" s="166"/>
      <c r="G6" s="163">
        <f t="shared" ref="G6:G16" si="0">IF(D6=0,0,D6*0.7)</f>
        <v>0</v>
      </c>
      <c r="H6" s="60">
        <f t="shared" ref="H6:H16" si="1">IF(D6=0,0,D6-E6-G6)</f>
        <v>0</v>
      </c>
      <c r="I6" s="81"/>
    </row>
    <row r="7" spans="2:9" x14ac:dyDescent="0.3">
      <c r="B7" s="176"/>
      <c r="C7" s="186"/>
      <c r="D7" s="153"/>
      <c r="E7" s="153"/>
      <c r="F7" s="166"/>
      <c r="G7" s="163">
        <f t="shared" si="0"/>
        <v>0</v>
      </c>
      <c r="H7" s="60">
        <f t="shared" si="1"/>
        <v>0</v>
      </c>
      <c r="I7" s="82"/>
    </row>
    <row r="8" spans="2:9" x14ac:dyDescent="0.3">
      <c r="B8" s="176"/>
      <c r="C8" s="186"/>
      <c r="D8" s="153"/>
      <c r="E8" s="153"/>
      <c r="F8" s="166"/>
      <c r="G8" s="163">
        <f t="shared" si="0"/>
        <v>0</v>
      </c>
      <c r="H8" s="60">
        <f t="shared" si="1"/>
        <v>0</v>
      </c>
      <c r="I8" s="82"/>
    </row>
    <row r="9" spans="2:9" x14ac:dyDescent="0.3">
      <c r="B9" s="176"/>
      <c r="C9" s="186"/>
      <c r="D9" s="153"/>
      <c r="E9" s="153"/>
      <c r="F9" s="166"/>
      <c r="G9" s="163">
        <f t="shared" si="0"/>
        <v>0</v>
      </c>
      <c r="H9" s="60">
        <f t="shared" si="1"/>
        <v>0</v>
      </c>
      <c r="I9" s="82"/>
    </row>
    <row r="10" spans="2:9" x14ac:dyDescent="0.3">
      <c r="B10" s="176"/>
      <c r="C10" s="186"/>
      <c r="D10" s="153"/>
      <c r="E10" s="153"/>
      <c r="F10" s="166"/>
      <c r="G10" s="163">
        <f t="shared" si="0"/>
        <v>0</v>
      </c>
      <c r="H10" s="60">
        <f t="shared" si="1"/>
        <v>0</v>
      </c>
      <c r="I10" s="82"/>
    </row>
    <row r="11" spans="2:9" x14ac:dyDescent="0.3">
      <c r="B11" s="176"/>
      <c r="C11" s="186"/>
      <c r="D11" s="153"/>
      <c r="E11" s="153"/>
      <c r="F11" s="166"/>
      <c r="G11" s="163">
        <f t="shared" si="0"/>
        <v>0</v>
      </c>
      <c r="H11" s="60">
        <f t="shared" si="1"/>
        <v>0</v>
      </c>
      <c r="I11" s="82"/>
    </row>
    <row r="12" spans="2:9" x14ac:dyDescent="0.3">
      <c r="B12" s="176"/>
      <c r="C12" s="186"/>
      <c r="D12" s="153"/>
      <c r="E12" s="153"/>
      <c r="F12" s="166"/>
      <c r="G12" s="163">
        <f t="shared" si="0"/>
        <v>0</v>
      </c>
      <c r="H12" s="60">
        <f t="shared" si="1"/>
        <v>0</v>
      </c>
      <c r="I12" s="82"/>
    </row>
    <row r="13" spans="2:9" x14ac:dyDescent="0.3">
      <c r="B13" s="176"/>
      <c r="C13" s="186"/>
      <c r="D13" s="153"/>
      <c r="E13" s="153"/>
      <c r="F13" s="166"/>
      <c r="G13" s="163">
        <f t="shared" si="0"/>
        <v>0</v>
      </c>
      <c r="H13" s="60">
        <f t="shared" si="1"/>
        <v>0</v>
      </c>
      <c r="I13" s="82"/>
    </row>
    <row r="14" spans="2:9" x14ac:dyDescent="0.3">
      <c r="B14" s="176"/>
      <c r="C14" s="186"/>
      <c r="D14" s="153"/>
      <c r="E14" s="153"/>
      <c r="F14" s="166"/>
      <c r="G14" s="163">
        <f t="shared" si="0"/>
        <v>0</v>
      </c>
      <c r="H14" s="60">
        <f t="shared" si="1"/>
        <v>0</v>
      </c>
      <c r="I14" s="82"/>
    </row>
    <row r="15" spans="2:9" x14ac:dyDescent="0.3">
      <c r="B15" s="176"/>
      <c r="C15" s="186"/>
      <c r="D15" s="153"/>
      <c r="E15" s="153"/>
      <c r="F15" s="166"/>
      <c r="G15" s="163">
        <f t="shared" si="0"/>
        <v>0</v>
      </c>
      <c r="H15" s="60">
        <f t="shared" si="1"/>
        <v>0</v>
      </c>
      <c r="I15" s="82"/>
    </row>
    <row r="16" spans="2:9" ht="15" thickBot="1" x14ac:dyDescent="0.35">
      <c r="B16" s="177"/>
      <c r="C16" s="187"/>
      <c r="D16" s="158"/>
      <c r="E16" s="158"/>
      <c r="F16" s="167"/>
      <c r="G16" s="163">
        <f t="shared" si="0"/>
        <v>0</v>
      </c>
      <c r="H16" s="60">
        <f t="shared" si="1"/>
        <v>0</v>
      </c>
      <c r="I16" s="84"/>
    </row>
    <row r="17" spans="3:9" s="15" customFormat="1" ht="21.6" thickBot="1" x14ac:dyDescent="0.35">
      <c r="C17" s="178" t="s">
        <v>18</v>
      </c>
      <c r="D17" s="37">
        <f>SUM(D6:D16)</f>
        <v>0</v>
      </c>
      <c r="E17" s="169">
        <f>SUM(E6:E16)</f>
        <v>0</v>
      </c>
      <c r="F17" s="168">
        <f>SUM(F6:F16)</f>
        <v>0</v>
      </c>
      <c r="G17" s="170">
        <f>SUM(G6:G16)</f>
        <v>0</v>
      </c>
      <c r="H17" s="38">
        <f>SUM(H6:H16)</f>
        <v>0</v>
      </c>
    </row>
    <row r="18" spans="3:9" ht="31.5" customHeight="1" thickBot="1" x14ac:dyDescent="0.35">
      <c r="C18" s="164" t="s">
        <v>11</v>
      </c>
      <c r="D18" s="165">
        <f>D17-E17</f>
        <v>0</v>
      </c>
      <c r="E18" s="308" t="s">
        <v>32</v>
      </c>
      <c r="F18" s="309"/>
      <c r="G18" s="34">
        <f>G17+F17+Products!F19</f>
        <v>0</v>
      </c>
      <c r="H18" s="164" t="s">
        <v>11</v>
      </c>
      <c r="I18" s="33">
        <f>H17+Products!G19</f>
        <v>0</v>
      </c>
    </row>
  </sheetData>
  <sheetProtection sheet="1" formatColumns="0" insertRows="0"/>
  <protectedRanges>
    <protectedRange sqref="B6:F16 I6:I16" name="Range1"/>
  </protectedRanges>
  <mergeCells count="2">
    <mergeCell ref="E18:F18"/>
    <mergeCell ref="B2:I3"/>
  </mergeCells>
  <pageMargins left="0.7" right="0.7" top="0.75" bottom="0.75" header="0.3" footer="0.3"/>
  <pageSetup paperSize="0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79998168889431442"/>
  </sheetPr>
  <dimension ref="B1:J18"/>
  <sheetViews>
    <sheetView zoomScale="132" zoomScaleNormal="132" workbookViewId="0">
      <selection activeCell="D6" sqref="D6"/>
    </sheetView>
  </sheetViews>
  <sheetFormatPr defaultColWidth="9.109375" defaultRowHeight="14.4" x14ac:dyDescent="0.3"/>
  <cols>
    <col min="1" max="1" width="2" style="24" customWidth="1"/>
    <col min="2" max="2" width="20.88671875" style="24" bestFit="1" customWidth="1"/>
    <col min="3" max="3" width="37.109375" style="24" customWidth="1"/>
    <col min="4" max="5" width="13.88671875" style="25" customWidth="1"/>
    <col min="6" max="6" width="10.33203125" style="25" customWidth="1"/>
    <col min="7" max="7" width="13.77734375" style="25" customWidth="1"/>
    <col min="8" max="8" width="18.109375" style="54" customWidth="1"/>
    <col min="9" max="9" width="25.6640625" style="24" customWidth="1"/>
    <col min="10" max="16384" width="9.109375" style="24"/>
  </cols>
  <sheetData>
    <row r="1" spans="2:10" ht="8.25" customHeight="1" thickBot="1" x14ac:dyDescent="0.35"/>
    <row r="2" spans="2:10" ht="15" customHeight="1" x14ac:dyDescent="0.3">
      <c r="B2" s="290" t="s">
        <v>7</v>
      </c>
      <c r="C2" s="291"/>
      <c r="D2" s="291"/>
      <c r="E2" s="291"/>
      <c r="F2" s="291"/>
      <c r="G2" s="291"/>
      <c r="H2" s="291"/>
      <c r="I2" s="292"/>
      <c r="J2" s="255"/>
    </row>
    <row r="3" spans="2:10" ht="15" customHeight="1" thickBot="1" x14ac:dyDescent="0.35">
      <c r="B3" s="293"/>
      <c r="C3" s="294"/>
      <c r="D3" s="294"/>
      <c r="E3" s="294"/>
      <c r="F3" s="294"/>
      <c r="G3" s="294"/>
      <c r="H3" s="294"/>
      <c r="I3" s="295"/>
      <c r="J3" s="255"/>
    </row>
    <row r="4" spans="2:10" ht="6" customHeight="1" thickBot="1" x14ac:dyDescent="0.35"/>
    <row r="5" spans="2:10" s="21" customFormat="1" ht="20.25" customHeight="1" thickBot="1" x14ac:dyDescent="0.35">
      <c r="B5" s="26" t="s">
        <v>1</v>
      </c>
      <c r="C5" s="215" t="s">
        <v>3</v>
      </c>
      <c r="D5" s="254" t="s">
        <v>41</v>
      </c>
      <c r="E5" s="251" t="s">
        <v>53</v>
      </c>
      <c r="F5" s="217" t="s">
        <v>4</v>
      </c>
      <c r="G5" s="256" t="s">
        <v>55</v>
      </c>
      <c r="H5" s="188" t="s">
        <v>6</v>
      </c>
      <c r="I5" s="28" t="s">
        <v>22</v>
      </c>
    </row>
    <row r="6" spans="2:10" x14ac:dyDescent="0.3">
      <c r="B6" s="175"/>
      <c r="C6" s="205"/>
      <c r="D6" s="202"/>
      <c r="E6" s="252"/>
      <c r="F6" s="152"/>
      <c r="G6" s="59">
        <f>E6*0.5</f>
        <v>0</v>
      </c>
      <c r="H6" s="80">
        <f>D6-F6+E6-G6</f>
        <v>0</v>
      </c>
      <c r="I6" s="189"/>
    </row>
    <row r="7" spans="2:10" x14ac:dyDescent="0.3">
      <c r="B7" s="176"/>
      <c r="C7" s="206"/>
      <c r="D7" s="249"/>
      <c r="E7" s="252"/>
      <c r="F7" s="153"/>
      <c r="G7" s="59">
        <f t="shared" ref="G7:G16" si="0">E7*0.5</f>
        <v>0</v>
      </c>
      <c r="H7" s="80">
        <f t="shared" ref="H7:H16" si="1">D7-F7+E7-G7</f>
        <v>0</v>
      </c>
      <c r="I7" s="73"/>
    </row>
    <row r="8" spans="2:10" x14ac:dyDescent="0.3">
      <c r="B8" s="176"/>
      <c r="C8" s="206"/>
      <c r="D8" s="249"/>
      <c r="E8" s="252"/>
      <c r="F8" s="153"/>
      <c r="G8" s="59">
        <f t="shared" si="0"/>
        <v>0</v>
      </c>
      <c r="H8" s="80">
        <f t="shared" si="1"/>
        <v>0</v>
      </c>
      <c r="I8" s="73"/>
    </row>
    <row r="9" spans="2:10" x14ac:dyDescent="0.3">
      <c r="B9" s="176"/>
      <c r="C9" s="206"/>
      <c r="D9" s="249"/>
      <c r="E9" s="252"/>
      <c r="F9" s="153"/>
      <c r="G9" s="59">
        <f t="shared" si="0"/>
        <v>0</v>
      </c>
      <c r="H9" s="80">
        <f t="shared" si="1"/>
        <v>0</v>
      </c>
      <c r="I9" s="73"/>
    </row>
    <row r="10" spans="2:10" x14ac:dyDescent="0.3">
      <c r="B10" s="176"/>
      <c r="C10" s="206"/>
      <c r="D10" s="249"/>
      <c r="E10" s="252"/>
      <c r="F10" s="153"/>
      <c r="G10" s="59">
        <f t="shared" si="0"/>
        <v>0</v>
      </c>
      <c r="H10" s="80">
        <f>D10-F10+E10-G10</f>
        <v>0</v>
      </c>
      <c r="I10" s="73"/>
    </row>
    <row r="11" spans="2:10" x14ac:dyDescent="0.3">
      <c r="B11" s="176"/>
      <c r="C11" s="206"/>
      <c r="D11" s="249"/>
      <c r="E11" s="252"/>
      <c r="F11" s="153"/>
      <c r="G11" s="59">
        <f t="shared" si="0"/>
        <v>0</v>
      </c>
      <c r="H11" s="80">
        <f t="shared" si="1"/>
        <v>0</v>
      </c>
      <c r="I11" s="73"/>
    </row>
    <row r="12" spans="2:10" x14ac:dyDescent="0.3">
      <c r="B12" s="176"/>
      <c r="C12" s="206"/>
      <c r="D12" s="249"/>
      <c r="E12" s="252"/>
      <c r="F12" s="153"/>
      <c r="G12" s="59">
        <f t="shared" si="0"/>
        <v>0</v>
      </c>
      <c r="H12" s="80">
        <f t="shared" si="1"/>
        <v>0</v>
      </c>
      <c r="I12" s="73"/>
    </row>
    <row r="13" spans="2:10" x14ac:dyDescent="0.3">
      <c r="B13" s="176"/>
      <c r="C13" s="206"/>
      <c r="D13" s="249"/>
      <c r="E13" s="252"/>
      <c r="F13" s="153"/>
      <c r="G13" s="59">
        <f t="shared" si="0"/>
        <v>0</v>
      </c>
      <c r="H13" s="80">
        <f t="shared" si="1"/>
        <v>0</v>
      </c>
      <c r="I13" s="73"/>
    </row>
    <row r="14" spans="2:10" x14ac:dyDescent="0.3">
      <c r="B14" s="176"/>
      <c r="C14" s="206"/>
      <c r="D14" s="249"/>
      <c r="E14" s="252"/>
      <c r="F14" s="153"/>
      <c r="G14" s="59">
        <f t="shared" si="0"/>
        <v>0</v>
      </c>
      <c r="H14" s="80">
        <f>D14-F14+E14-G14</f>
        <v>0</v>
      </c>
      <c r="I14" s="73"/>
    </row>
    <row r="15" spans="2:10" x14ac:dyDescent="0.3">
      <c r="B15" s="176"/>
      <c r="C15" s="206"/>
      <c r="D15" s="249"/>
      <c r="E15" s="252"/>
      <c r="F15" s="153"/>
      <c r="G15" s="59">
        <f t="shared" si="0"/>
        <v>0</v>
      </c>
      <c r="H15" s="80">
        <f t="shared" si="1"/>
        <v>0</v>
      </c>
      <c r="I15" s="73"/>
    </row>
    <row r="16" spans="2:10" ht="15" thickBot="1" x14ac:dyDescent="0.35">
      <c r="B16" s="177"/>
      <c r="C16" s="216"/>
      <c r="D16" s="250"/>
      <c r="E16" s="253"/>
      <c r="F16" s="158"/>
      <c r="G16" s="59">
        <f t="shared" si="0"/>
        <v>0</v>
      </c>
      <c r="H16" s="80">
        <f t="shared" si="1"/>
        <v>0</v>
      </c>
      <c r="I16" s="74"/>
    </row>
    <row r="17" spans="3:8" s="21" customFormat="1" ht="18.600000000000001" thickBot="1" x14ac:dyDescent="0.35">
      <c r="C17" s="30" t="s">
        <v>18</v>
      </c>
      <c r="D17" s="218">
        <f>SUM(D6:D16)</f>
        <v>0</v>
      </c>
      <c r="E17" s="196">
        <f>SUM(E6:E16)</f>
        <v>0</v>
      </c>
      <c r="F17" s="196">
        <f>SUM(F6:F16)</f>
        <v>0</v>
      </c>
      <c r="G17" s="257">
        <f>SUM(G6:G16)</f>
        <v>0</v>
      </c>
      <c r="H17" s="257">
        <f>SUM(H6:H16)</f>
        <v>0</v>
      </c>
    </row>
    <row r="18" spans="3:8" ht="39" customHeight="1" thickBot="1" x14ac:dyDescent="0.35">
      <c r="C18" s="36" t="s">
        <v>11</v>
      </c>
      <c r="D18" s="47">
        <f>D17+E17-F17</f>
        <v>0</v>
      </c>
      <c r="E18" s="29" t="s">
        <v>54</v>
      </c>
      <c r="F18" s="258">
        <f>G17</f>
        <v>0</v>
      </c>
      <c r="G18" s="36" t="s">
        <v>21</v>
      </c>
      <c r="H18" s="33">
        <f>H17</f>
        <v>0</v>
      </c>
    </row>
  </sheetData>
  <sheetProtection sheet="1" formatColumns="0" insertRows="0"/>
  <mergeCells count="1">
    <mergeCell ref="B2:I3"/>
  </mergeCells>
  <pageMargins left="0.7" right="0.7" top="0.75" bottom="0.75" header="0.3" footer="0.3"/>
  <pageSetup paperSize="0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FE76-D30F-4A32-8E14-EBDF84652155}">
  <sheetPr>
    <tabColor theme="3" tint="0.79998168889431442"/>
  </sheetPr>
  <dimension ref="B1:K20"/>
  <sheetViews>
    <sheetView zoomScale="120" zoomScaleNormal="120" workbookViewId="0">
      <selection activeCell="E20" sqref="E20"/>
    </sheetView>
  </sheetViews>
  <sheetFormatPr defaultRowHeight="14.4" x14ac:dyDescent="0.3"/>
  <cols>
    <col min="1" max="1" width="1.5546875" customWidth="1"/>
    <col min="2" max="2" width="18" bestFit="1" customWidth="1"/>
    <col min="3" max="3" width="38" customWidth="1"/>
    <col min="4" max="4" width="12.33203125" style="1" customWidth="1"/>
    <col min="5" max="5" width="10.5546875" style="1" customWidth="1"/>
    <col min="6" max="6" width="13.109375" style="1" customWidth="1"/>
    <col min="7" max="7" width="11.109375" style="1" customWidth="1"/>
    <col min="8" max="8" width="18.6640625" style="3" customWidth="1"/>
    <col min="9" max="9" width="18.33203125" style="3" customWidth="1"/>
    <col min="10" max="10" width="28.5546875" customWidth="1"/>
  </cols>
  <sheetData>
    <row r="1" spans="2:11" ht="11.25" customHeight="1" thickBot="1" x14ac:dyDescent="0.35"/>
    <row r="2" spans="2:11" ht="15" customHeight="1" x14ac:dyDescent="0.3">
      <c r="B2" s="290" t="s">
        <v>31</v>
      </c>
      <c r="C2" s="291"/>
      <c r="D2" s="291"/>
      <c r="E2" s="291"/>
      <c r="F2" s="291"/>
      <c r="G2" s="291"/>
      <c r="H2" s="291"/>
      <c r="I2" s="291"/>
      <c r="J2" s="292"/>
      <c r="K2" s="2"/>
    </row>
    <row r="3" spans="2:11" ht="15" customHeight="1" x14ac:dyDescent="0.3">
      <c r="B3" s="305"/>
      <c r="C3" s="306"/>
      <c r="D3" s="306"/>
      <c r="E3" s="306"/>
      <c r="F3" s="306"/>
      <c r="G3" s="306"/>
      <c r="H3" s="306"/>
      <c r="I3" s="306"/>
      <c r="J3" s="307"/>
      <c r="K3" s="2"/>
    </row>
    <row r="4" spans="2:11" ht="7.5" customHeight="1" thickBot="1" x14ac:dyDescent="0.35">
      <c r="B4" s="293"/>
      <c r="C4" s="294"/>
      <c r="D4" s="294"/>
      <c r="E4" s="294"/>
      <c r="F4" s="294"/>
      <c r="G4" s="294"/>
      <c r="H4" s="294"/>
      <c r="I4" s="294"/>
      <c r="J4" s="295"/>
      <c r="K4" s="2"/>
    </row>
    <row r="5" spans="2:11" ht="7.5" customHeight="1" thickBot="1" x14ac:dyDescent="0.35"/>
    <row r="6" spans="2:11" s="23" customFormat="1" ht="18.75" customHeight="1" thickBot="1" x14ac:dyDescent="0.35">
      <c r="B6" s="10" t="s">
        <v>1</v>
      </c>
      <c r="C6" s="11" t="s">
        <v>3</v>
      </c>
      <c r="D6" s="22" t="s">
        <v>42</v>
      </c>
      <c r="E6" s="22" t="s">
        <v>41</v>
      </c>
      <c r="F6" s="22" t="s">
        <v>4</v>
      </c>
      <c r="G6" s="22" t="s">
        <v>28</v>
      </c>
      <c r="H6" s="12" t="s">
        <v>30</v>
      </c>
      <c r="I6" s="13" t="s">
        <v>6</v>
      </c>
      <c r="J6" s="19" t="s">
        <v>22</v>
      </c>
    </row>
    <row r="7" spans="2:11" x14ac:dyDescent="0.3">
      <c r="B7" s="103"/>
      <c r="C7" s="198"/>
      <c r="D7" s="201"/>
      <c r="E7" s="155"/>
      <c r="F7" s="152"/>
      <c r="G7" s="67"/>
      <c r="H7" s="79">
        <f>D7*0.4+E7*0.3</f>
        <v>0</v>
      </c>
      <c r="I7" s="223">
        <f>D7*0.6+E7*0.7-F7</f>
        <v>0</v>
      </c>
      <c r="J7" s="97"/>
    </row>
    <row r="8" spans="2:11" x14ac:dyDescent="0.3">
      <c r="B8" s="104"/>
      <c r="C8" s="199"/>
      <c r="D8" s="202"/>
      <c r="E8" s="156"/>
      <c r="F8" s="153"/>
      <c r="G8" s="67"/>
      <c r="H8" s="79">
        <f t="shared" ref="H8:H18" si="0">D8*0.4+E8*0.3</f>
        <v>0</v>
      </c>
      <c r="I8" s="223">
        <f t="shared" ref="I8:I18" si="1">D8*0.6+E8*0.7-F8</f>
        <v>0</v>
      </c>
      <c r="J8" s="73"/>
    </row>
    <row r="9" spans="2:11" x14ac:dyDescent="0.3">
      <c r="B9" s="104"/>
      <c r="C9" s="199"/>
      <c r="D9" s="202"/>
      <c r="E9" s="156"/>
      <c r="F9" s="153"/>
      <c r="G9" s="67"/>
      <c r="H9" s="79">
        <f t="shared" si="0"/>
        <v>0</v>
      </c>
      <c r="I9" s="223">
        <f t="shared" si="1"/>
        <v>0</v>
      </c>
      <c r="J9" s="73"/>
    </row>
    <row r="10" spans="2:11" x14ac:dyDescent="0.3">
      <c r="B10" s="104"/>
      <c r="C10" s="199"/>
      <c r="D10" s="202"/>
      <c r="E10" s="156"/>
      <c r="F10" s="153"/>
      <c r="G10" s="67"/>
      <c r="H10" s="79">
        <f t="shared" si="0"/>
        <v>0</v>
      </c>
      <c r="I10" s="223">
        <f t="shared" si="1"/>
        <v>0</v>
      </c>
      <c r="J10" s="73"/>
    </row>
    <row r="11" spans="2:11" x14ac:dyDescent="0.3">
      <c r="B11" s="104"/>
      <c r="C11" s="199"/>
      <c r="D11" s="202"/>
      <c r="E11" s="156"/>
      <c r="F11" s="153"/>
      <c r="G11" s="67"/>
      <c r="H11" s="79">
        <f t="shared" si="0"/>
        <v>0</v>
      </c>
      <c r="I11" s="223">
        <f t="shared" si="1"/>
        <v>0</v>
      </c>
      <c r="J11" s="73"/>
    </row>
    <row r="12" spans="2:11" x14ac:dyDescent="0.3">
      <c r="B12" s="104"/>
      <c r="C12" s="199"/>
      <c r="D12" s="202"/>
      <c r="E12" s="156"/>
      <c r="F12" s="153"/>
      <c r="G12" s="67"/>
      <c r="H12" s="79">
        <f t="shared" si="0"/>
        <v>0</v>
      </c>
      <c r="I12" s="223">
        <f t="shared" si="1"/>
        <v>0</v>
      </c>
      <c r="J12" s="73"/>
    </row>
    <row r="13" spans="2:11" x14ac:dyDescent="0.3">
      <c r="B13" s="104"/>
      <c r="C13" s="199"/>
      <c r="D13" s="202"/>
      <c r="E13" s="156"/>
      <c r="F13" s="153"/>
      <c r="G13" s="67"/>
      <c r="H13" s="79">
        <f t="shared" si="0"/>
        <v>0</v>
      </c>
      <c r="I13" s="223">
        <f t="shared" si="1"/>
        <v>0</v>
      </c>
      <c r="J13" s="73"/>
    </row>
    <row r="14" spans="2:11" x14ac:dyDescent="0.3">
      <c r="B14" s="104"/>
      <c r="C14" s="199"/>
      <c r="D14" s="202"/>
      <c r="E14" s="156"/>
      <c r="F14" s="153"/>
      <c r="G14" s="67"/>
      <c r="H14" s="79">
        <f t="shared" si="0"/>
        <v>0</v>
      </c>
      <c r="I14" s="223">
        <f t="shared" si="1"/>
        <v>0</v>
      </c>
      <c r="J14" s="73"/>
    </row>
    <row r="15" spans="2:11" x14ac:dyDescent="0.3">
      <c r="B15" s="104"/>
      <c r="C15" s="199"/>
      <c r="D15" s="202"/>
      <c r="E15" s="156"/>
      <c r="F15" s="153"/>
      <c r="G15" s="67"/>
      <c r="H15" s="79">
        <f t="shared" si="0"/>
        <v>0</v>
      </c>
      <c r="I15" s="223">
        <f t="shared" si="1"/>
        <v>0</v>
      </c>
      <c r="J15" s="73"/>
    </row>
    <row r="16" spans="2:11" x14ac:dyDescent="0.3">
      <c r="B16" s="104"/>
      <c r="C16" s="199"/>
      <c r="D16" s="202"/>
      <c r="E16" s="156"/>
      <c r="F16" s="153"/>
      <c r="G16" s="67"/>
      <c r="H16" s="79">
        <f t="shared" si="0"/>
        <v>0</v>
      </c>
      <c r="I16" s="223">
        <f t="shared" si="1"/>
        <v>0</v>
      </c>
      <c r="J16" s="73"/>
    </row>
    <row r="17" spans="2:10" x14ac:dyDescent="0.3">
      <c r="B17" s="104"/>
      <c r="C17" s="199"/>
      <c r="D17" s="202"/>
      <c r="E17" s="156"/>
      <c r="F17" s="153"/>
      <c r="G17" s="67"/>
      <c r="H17" s="79">
        <f t="shared" si="0"/>
        <v>0</v>
      </c>
      <c r="I17" s="223">
        <f t="shared" si="1"/>
        <v>0</v>
      </c>
      <c r="J17" s="73"/>
    </row>
    <row r="18" spans="2:10" ht="15" thickBot="1" x14ac:dyDescent="0.35">
      <c r="B18" s="105"/>
      <c r="C18" s="200"/>
      <c r="D18" s="203"/>
      <c r="E18" s="157"/>
      <c r="F18" s="154"/>
      <c r="G18" s="150"/>
      <c r="H18" s="247">
        <f t="shared" si="0"/>
        <v>0</v>
      </c>
      <c r="I18" s="223">
        <f t="shared" si="1"/>
        <v>0</v>
      </c>
      <c r="J18" s="74"/>
    </row>
    <row r="19" spans="2:10" s="23" customFormat="1" ht="18.600000000000001" thickBot="1" x14ac:dyDescent="0.35">
      <c r="C19" s="151" t="s">
        <v>18</v>
      </c>
      <c r="D19" s="227">
        <f t="shared" ref="D19:I19" si="2">SUM(D7:D18)</f>
        <v>0</v>
      </c>
      <c r="E19" s="227">
        <f t="shared" si="2"/>
        <v>0</v>
      </c>
      <c r="F19" s="231">
        <f t="shared" si="2"/>
        <v>0</v>
      </c>
      <c r="G19" s="231">
        <f t="shared" si="2"/>
        <v>0</v>
      </c>
      <c r="H19" s="221">
        <f t="shared" si="2"/>
        <v>0</v>
      </c>
      <c r="I19" s="224">
        <f t="shared" si="2"/>
        <v>0</v>
      </c>
      <c r="J19" s="24"/>
    </row>
    <row r="20" spans="2:10" ht="36.6" thickBot="1" x14ac:dyDescent="0.35">
      <c r="B20" s="24"/>
      <c r="C20" s="40" t="s">
        <v>11</v>
      </c>
      <c r="D20" s="248">
        <f>D19+E19-F19</f>
        <v>0</v>
      </c>
      <c r="G20" s="29" t="s">
        <v>52</v>
      </c>
      <c r="H20" s="222">
        <f>IF(H19=0,0,H19+10+G19)</f>
        <v>0</v>
      </c>
      <c r="I20" s="36" t="s">
        <v>21</v>
      </c>
      <c r="J20" s="226">
        <f>D20-H20</f>
        <v>0</v>
      </c>
    </row>
  </sheetData>
  <sheetProtection sheet="1" formatColumns="0"/>
  <mergeCells count="1">
    <mergeCell ref="B2:J4"/>
  </mergeCells>
  <pageMargins left="0.7" right="0.7" top="0.75" bottom="0.75" header="0.3" footer="0.3"/>
  <pageSetup paperSize="0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E98F-9AA9-41F1-9F22-50AAB8B6AB2B}">
  <sheetPr>
    <tabColor theme="3" tint="0.79998168889431442"/>
  </sheetPr>
  <dimension ref="B1:I23"/>
  <sheetViews>
    <sheetView zoomScale="120" zoomScaleNormal="120" workbookViewId="0">
      <selection activeCell="B2" sqref="B2:I4"/>
    </sheetView>
  </sheetViews>
  <sheetFormatPr defaultColWidth="9.109375" defaultRowHeight="14.4" x14ac:dyDescent="0.3"/>
  <cols>
    <col min="1" max="1" width="1.88671875" style="24" customWidth="1"/>
    <col min="2" max="2" width="26.88671875" style="24" customWidth="1"/>
    <col min="3" max="3" width="31" style="24" customWidth="1"/>
    <col min="4" max="4" width="12.33203125" style="24" customWidth="1"/>
    <col min="5" max="5" width="11.5546875" style="24" customWidth="1"/>
    <col min="6" max="6" width="13.88671875" style="24" customWidth="1"/>
    <col min="7" max="7" width="18.33203125" style="24" customWidth="1"/>
    <col min="8" max="8" width="15.6640625" style="24" customWidth="1"/>
    <col min="9" max="9" width="36.33203125" style="24" customWidth="1"/>
    <col min="10" max="16384" width="9.109375" style="24"/>
  </cols>
  <sheetData>
    <row r="1" spans="2:9" ht="6.75" customHeight="1" thickBot="1" x14ac:dyDescent="0.35"/>
    <row r="2" spans="2:9" ht="14.25" customHeight="1" x14ac:dyDescent="0.3">
      <c r="B2" s="290" t="s">
        <v>61</v>
      </c>
      <c r="C2" s="291"/>
      <c r="D2" s="291"/>
      <c r="E2" s="291"/>
      <c r="F2" s="291"/>
      <c r="G2" s="291"/>
      <c r="H2" s="291"/>
      <c r="I2" s="292"/>
    </row>
    <row r="3" spans="2:9" ht="11.25" customHeight="1" x14ac:dyDescent="0.3">
      <c r="B3" s="305"/>
      <c r="C3" s="306"/>
      <c r="D3" s="306"/>
      <c r="E3" s="306"/>
      <c r="F3" s="306"/>
      <c r="G3" s="306"/>
      <c r="H3" s="306"/>
      <c r="I3" s="307"/>
    </row>
    <row r="4" spans="2:9" ht="9.75" customHeight="1" thickBot="1" x14ac:dyDescent="0.35">
      <c r="B4" s="293"/>
      <c r="C4" s="294"/>
      <c r="D4" s="294"/>
      <c r="E4" s="294"/>
      <c r="F4" s="294"/>
      <c r="G4" s="294"/>
      <c r="H4" s="294"/>
      <c r="I4" s="295"/>
    </row>
    <row r="5" spans="2:9" ht="9.75" customHeight="1" thickBot="1" x14ac:dyDescent="0.35">
      <c r="D5" s="25"/>
      <c r="E5" s="25"/>
      <c r="F5" s="54"/>
      <c r="G5" s="54"/>
    </row>
    <row r="6" spans="2:9" s="23" customFormat="1" ht="18.600000000000001" thickBot="1" x14ac:dyDescent="0.35">
      <c r="B6" s="10" t="s">
        <v>1</v>
      </c>
      <c r="C6" s="11" t="s">
        <v>3</v>
      </c>
      <c r="D6" s="22" t="s">
        <v>9</v>
      </c>
      <c r="E6" s="22" t="s">
        <v>4</v>
      </c>
      <c r="F6" s="32" t="s">
        <v>28</v>
      </c>
      <c r="G6" s="12" t="s">
        <v>14</v>
      </c>
      <c r="H6" s="13" t="s">
        <v>6</v>
      </c>
      <c r="I6" s="32" t="s">
        <v>22</v>
      </c>
    </row>
    <row r="7" spans="2:9" x14ac:dyDescent="0.3">
      <c r="B7" s="103"/>
      <c r="C7" s="100"/>
      <c r="D7" s="67"/>
      <c r="E7" s="67"/>
      <c r="F7" s="64"/>
      <c r="G7" s="59">
        <f t="shared" ref="G7:G19" si="0">D7*0.3</f>
        <v>0</v>
      </c>
      <c r="H7" s="63">
        <f>D7*0.7-E7</f>
        <v>0</v>
      </c>
      <c r="I7" s="72"/>
    </row>
    <row r="8" spans="2:9" x14ac:dyDescent="0.3">
      <c r="B8" s="104"/>
      <c r="C8" s="101"/>
      <c r="D8" s="58"/>
      <c r="E8" s="58"/>
      <c r="F8" s="65"/>
      <c r="G8" s="59">
        <f t="shared" si="0"/>
        <v>0</v>
      </c>
      <c r="H8" s="63">
        <f t="shared" ref="H8:H19" si="1">D8*0.7-E8</f>
        <v>0</v>
      </c>
      <c r="I8" s="73"/>
    </row>
    <row r="9" spans="2:9" x14ac:dyDescent="0.3">
      <c r="B9" s="104"/>
      <c r="C9" s="101"/>
      <c r="D9" s="58"/>
      <c r="E9" s="58"/>
      <c r="F9" s="65"/>
      <c r="G9" s="59">
        <f t="shared" si="0"/>
        <v>0</v>
      </c>
      <c r="H9" s="63">
        <f t="shared" si="1"/>
        <v>0</v>
      </c>
      <c r="I9" s="73"/>
    </row>
    <row r="10" spans="2:9" x14ac:dyDescent="0.3">
      <c r="B10" s="104"/>
      <c r="C10" s="101"/>
      <c r="D10" s="58"/>
      <c r="E10" s="58"/>
      <c r="F10" s="65"/>
      <c r="G10" s="59">
        <f t="shared" si="0"/>
        <v>0</v>
      </c>
      <c r="H10" s="63">
        <f t="shared" si="1"/>
        <v>0</v>
      </c>
      <c r="I10" s="73"/>
    </row>
    <row r="11" spans="2:9" x14ac:dyDescent="0.3">
      <c r="B11" s="104"/>
      <c r="C11" s="101"/>
      <c r="D11" s="58"/>
      <c r="E11" s="58"/>
      <c r="F11" s="65"/>
      <c r="G11" s="59">
        <f t="shared" si="0"/>
        <v>0</v>
      </c>
      <c r="H11" s="63">
        <f t="shared" si="1"/>
        <v>0</v>
      </c>
      <c r="I11" s="73"/>
    </row>
    <row r="12" spans="2:9" x14ac:dyDescent="0.3">
      <c r="B12" s="104"/>
      <c r="C12" s="101"/>
      <c r="D12" s="58"/>
      <c r="E12" s="58"/>
      <c r="F12" s="65"/>
      <c r="G12" s="59">
        <f t="shared" si="0"/>
        <v>0</v>
      </c>
      <c r="H12" s="63">
        <f t="shared" si="1"/>
        <v>0</v>
      </c>
      <c r="I12" s="73"/>
    </row>
    <row r="13" spans="2:9" x14ac:dyDescent="0.3">
      <c r="B13" s="104"/>
      <c r="C13" s="101"/>
      <c r="D13" s="58"/>
      <c r="E13" s="58"/>
      <c r="F13" s="65"/>
      <c r="G13" s="59">
        <f t="shared" si="0"/>
        <v>0</v>
      </c>
      <c r="H13" s="63">
        <f t="shared" si="1"/>
        <v>0</v>
      </c>
      <c r="I13" s="73"/>
    </row>
    <row r="14" spans="2:9" x14ac:dyDescent="0.3">
      <c r="B14" s="104"/>
      <c r="C14" s="101"/>
      <c r="D14" s="58"/>
      <c r="E14" s="58"/>
      <c r="F14" s="65"/>
      <c r="G14" s="59">
        <f t="shared" si="0"/>
        <v>0</v>
      </c>
      <c r="H14" s="63">
        <f t="shared" si="1"/>
        <v>0</v>
      </c>
      <c r="I14" s="73"/>
    </row>
    <row r="15" spans="2:9" x14ac:dyDescent="0.3">
      <c r="B15" s="104"/>
      <c r="C15" s="101"/>
      <c r="D15" s="58"/>
      <c r="E15" s="58"/>
      <c r="F15" s="65"/>
      <c r="G15" s="59">
        <f t="shared" si="0"/>
        <v>0</v>
      </c>
      <c r="H15" s="63">
        <f t="shared" si="1"/>
        <v>0</v>
      </c>
      <c r="I15" s="73"/>
    </row>
    <row r="16" spans="2:9" x14ac:dyDescent="0.3">
      <c r="B16" s="104"/>
      <c r="C16" s="101"/>
      <c r="D16" s="58"/>
      <c r="E16" s="58"/>
      <c r="F16" s="65"/>
      <c r="G16" s="59">
        <f t="shared" si="0"/>
        <v>0</v>
      </c>
      <c r="H16" s="63">
        <f t="shared" si="1"/>
        <v>0</v>
      </c>
      <c r="I16" s="73"/>
    </row>
    <row r="17" spans="2:9" x14ac:dyDescent="0.3">
      <c r="B17" s="104"/>
      <c r="C17" s="101"/>
      <c r="D17" s="58"/>
      <c r="E17" s="58"/>
      <c r="F17" s="65"/>
      <c r="G17" s="59">
        <f t="shared" si="0"/>
        <v>0</v>
      </c>
      <c r="H17" s="63">
        <f t="shared" si="1"/>
        <v>0</v>
      </c>
      <c r="I17" s="73"/>
    </row>
    <row r="18" spans="2:9" x14ac:dyDescent="0.3">
      <c r="B18" s="104"/>
      <c r="C18" s="101"/>
      <c r="D18" s="58"/>
      <c r="E18" s="58"/>
      <c r="F18" s="65"/>
      <c r="G18" s="59">
        <f t="shared" si="0"/>
        <v>0</v>
      </c>
      <c r="H18" s="63">
        <f t="shared" si="1"/>
        <v>0</v>
      </c>
      <c r="I18" s="73"/>
    </row>
    <row r="19" spans="2:9" ht="15" thickBot="1" x14ac:dyDescent="0.35">
      <c r="B19" s="105"/>
      <c r="C19" s="102"/>
      <c r="D19" s="61"/>
      <c r="E19" s="61"/>
      <c r="F19" s="66"/>
      <c r="G19" s="59">
        <f t="shared" si="0"/>
        <v>0</v>
      </c>
      <c r="H19" s="63">
        <f t="shared" si="1"/>
        <v>0</v>
      </c>
      <c r="I19" s="74"/>
    </row>
    <row r="20" spans="2:9" s="23" customFormat="1" ht="18.600000000000001" thickBot="1" x14ac:dyDescent="0.35">
      <c r="C20" s="16" t="s">
        <v>18</v>
      </c>
      <c r="D20" s="17">
        <f>SUM(D7:D19)</f>
        <v>0</v>
      </c>
      <c r="E20" s="18">
        <f t="shared" ref="E20:H20" si="2">SUM(E7:E19)</f>
        <v>0</v>
      </c>
      <c r="F20" s="18">
        <f>SUM(F7:F19)</f>
        <v>0</v>
      </c>
      <c r="G20" s="27">
        <f t="shared" si="2"/>
        <v>0</v>
      </c>
      <c r="H20" s="28">
        <f t="shared" si="2"/>
        <v>0</v>
      </c>
    </row>
    <row r="21" spans="2:9" ht="36.6" thickBot="1" x14ac:dyDescent="0.35">
      <c r="C21" s="26" t="s">
        <v>11</v>
      </c>
      <c r="D21" s="47">
        <f>D20-E20</f>
        <v>0</v>
      </c>
      <c r="F21" s="29" t="s">
        <v>20</v>
      </c>
      <c r="G21" s="35">
        <f>IF(G20=0,0,G20+10+F20)+Products!M19</f>
        <v>0</v>
      </c>
      <c r="H21" s="16" t="s">
        <v>21</v>
      </c>
      <c r="I21" s="33">
        <f>D21-G21+Products!M19+Products!N19</f>
        <v>0</v>
      </c>
    </row>
    <row r="23" spans="2:9" x14ac:dyDescent="0.3">
      <c r="D23" s="25"/>
      <c r="G23" s="54"/>
    </row>
  </sheetData>
  <sheetProtection sheet="1" formatColumns="0" insertRows="0"/>
  <mergeCells count="1">
    <mergeCell ref="B2:I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098A-EED6-434D-B8A3-544BDF26778A}">
  <sheetPr>
    <tabColor theme="4" tint="0.79998168889431442"/>
  </sheetPr>
  <dimension ref="B1:J18"/>
  <sheetViews>
    <sheetView zoomScale="130" zoomScaleNormal="130" workbookViewId="0">
      <selection activeCell="B2" sqref="B2:I3"/>
    </sheetView>
  </sheetViews>
  <sheetFormatPr defaultColWidth="9.109375" defaultRowHeight="14.4" x14ac:dyDescent="0.3"/>
  <cols>
    <col min="1" max="1" width="2" style="24" customWidth="1"/>
    <col min="2" max="2" width="20.88671875" style="24" customWidth="1"/>
    <col min="3" max="3" width="31.88671875" style="24" customWidth="1"/>
    <col min="4" max="4" width="13.88671875" style="25" customWidth="1"/>
    <col min="5" max="6" width="12.88671875" style="25" customWidth="1"/>
    <col min="7" max="7" width="16.5546875" style="54" customWidth="1"/>
    <col min="8" max="8" width="18.109375" style="54" customWidth="1"/>
    <col min="9" max="9" width="25.6640625" style="24" customWidth="1"/>
    <col min="10" max="16384" width="9.109375" style="24"/>
  </cols>
  <sheetData>
    <row r="1" spans="2:10" ht="8.25" customHeight="1" thickBot="1" x14ac:dyDescent="0.35"/>
    <row r="2" spans="2:10" ht="15" customHeight="1" x14ac:dyDescent="0.3">
      <c r="B2" s="290" t="s">
        <v>59</v>
      </c>
      <c r="C2" s="291"/>
      <c r="D2" s="291"/>
      <c r="E2" s="291"/>
      <c r="F2" s="291"/>
      <c r="G2" s="291"/>
      <c r="H2" s="291"/>
      <c r="I2" s="292"/>
      <c r="J2" s="259"/>
    </row>
    <row r="3" spans="2:10" ht="15" customHeight="1" thickBot="1" x14ac:dyDescent="0.35">
      <c r="B3" s="293"/>
      <c r="C3" s="294"/>
      <c r="D3" s="294"/>
      <c r="E3" s="294"/>
      <c r="F3" s="294"/>
      <c r="G3" s="294"/>
      <c r="H3" s="294"/>
      <c r="I3" s="295"/>
      <c r="J3" s="259"/>
    </row>
    <row r="4" spans="2:10" ht="6" customHeight="1" thickBot="1" x14ac:dyDescent="0.35"/>
    <row r="5" spans="2:10" s="21" customFormat="1" ht="20.25" customHeight="1" thickBot="1" x14ac:dyDescent="0.35">
      <c r="B5" s="26" t="s">
        <v>1</v>
      </c>
      <c r="C5" s="26" t="s">
        <v>3</v>
      </c>
      <c r="D5" s="31" t="s">
        <v>2</v>
      </c>
      <c r="E5" s="18" t="s">
        <v>4</v>
      </c>
      <c r="F5" s="18" t="s">
        <v>57</v>
      </c>
      <c r="G5" s="27" t="s">
        <v>56</v>
      </c>
      <c r="H5" s="28" t="s">
        <v>6</v>
      </c>
      <c r="I5" s="19" t="s">
        <v>22</v>
      </c>
    </row>
    <row r="6" spans="2:10" x14ac:dyDescent="0.3">
      <c r="B6" s="103"/>
      <c r="C6" s="100"/>
      <c r="D6" s="159"/>
      <c r="E6" s="67"/>
      <c r="F6" s="67"/>
      <c r="G6" s="79">
        <f>D6*0.7</f>
        <v>0</v>
      </c>
      <c r="H6" s="80">
        <f t="shared" ref="H6:H16" si="0">D6-G6-E6</f>
        <v>0</v>
      </c>
      <c r="I6" s="81"/>
    </row>
    <row r="7" spans="2:10" x14ac:dyDescent="0.3">
      <c r="B7" s="104"/>
      <c r="C7" s="101"/>
      <c r="D7" s="58"/>
      <c r="E7" s="58"/>
      <c r="F7" s="67"/>
      <c r="G7" s="79">
        <f t="shared" ref="G7:G10" si="1">D7*0.7</f>
        <v>0</v>
      </c>
      <c r="H7" s="80">
        <f t="shared" si="0"/>
        <v>0</v>
      </c>
      <c r="I7" s="82"/>
    </row>
    <row r="8" spans="2:10" x14ac:dyDescent="0.3">
      <c r="B8" s="104"/>
      <c r="C8" s="101"/>
      <c r="D8" s="58"/>
      <c r="E8" s="58"/>
      <c r="F8" s="67"/>
      <c r="G8" s="79">
        <f t="shared" si="1"/>
        <v>0</v>
      </c>
      <c r="H8" s="80">
        <f t="shared" si="0"/>
        <v>0</v>
      </c>
      <c r="I8" s="82"/>
    </row>
    <row r="9" spans="2:10" x14ac:dyDescent="0.3">
      <c r="B9" s="104"/>
      <c r="C9" s="101"/>
      <c r="D9" s="58"/>
      <c r="E9" s="58"/>
      <c r="F9" s="67"/>
      <c r="G9" s="79">
        <f t="shared" si="1"/>
        <v>0</v>
      </c>
      <c r="H9" s="80">
        <f t="shared" si="0"/>
        <v>0</v>
      </c>
      <c r="I9" s="82"/>
    </row>
    <row r="10" spans="2:10" x14ac:dyDescent="0.3">
      <c r="B10" s="104"/>
      <c r="C10" s="101"/>
      <c r="D10" s="58"/>
      <c r="E10" s="58"/>
      <c r="F10" s="67"/>
      <c r="G10" s="79">
        <f t="shared" si="1"/>
        <v>0</v>
      </c>
      <c r="H10" s="80">
        <f t="shared" si="0"/>
        <v>0</v>
      </c>
      <c r="I10" s="82"/>
    </row>
    <row r="11" spans="2:10" x14ac:dyDescent="0.3">
      <c r="B11" s="104"/>
      <c r="C11" s="101"/>
      <c r="D11" s="58"/>
      <c r="E11" s="58"/>
      <c r="F11" s="67"/>
      <c r="G11" s="79">
        <f t="shared" ref="G11:G16" si="2">D11*0.7</f>
        <v>0</v>
      </c>
      <c r="H11" s="80">
        <f t="shared" si="0"/>
        <v>0</v>
      </c>
      <c r="I11" s="82"/>
    </row>
    <row r="12" spans="2:10" x14ac:dyDescent="0.3">
      <c r="B12" s="104"/>
      <c r="C12" s="101"/>
      <c r="D12" s="58"/>
      <c r="E12" s="58"/>
      <c r="F12" s="67"/>
      <c r="G12" s="79">
        <f t="shared" si="2"/>
        <v>0</v>
      </c>
      <c r="H12" s="80">
        <f t="shared" si="0"/>
        <v>0</v>
      </c>
      <c r="I12" s="82"/>
    </row>
    <row r="13" spans="2:10" x14ac:dyDescent="0.3">
      <c r="B13" s="104"/>
      <c r="C13" s="101"/>
      <c r="D13" s="58"/>
      <c r="E13" s="58"/>
      <c r="F13" s="67"/>
      <c r="G13" s="79">
        <f t="shared" si="2"/>
        <v>0</v>
      </c>
      <c r="H13" s="80">
        <f t="shared" si="0"/>
        <v>0</v>
      </c>
      <c r="I13" s="82"/>
    </row>
    <row r="14" spans="2:10" x14ac:dyDescent="0.3">
      <c r="B14" s="104"/>
      <c r="C14" s="101"/>
      <c r="D14" s="58"/>
      <c r="E14" s="58"/>
      <c r="F14" s="67"/>
      <c r="G14" s="79">
        <f t="shared" si="2"/>
        <v>0</v>
      </c>
      <c r="H14" s="80">
        <f t="shared" si="0"/>
        <v>0</v>
      </c>
      <c r="I14" s="82"/>
    </row>
    <row r="15" spans="2:10" x14ac:dyDescent="0.3">
      <c r="B15" s="104"/>
      <c r="C15" s="101"/>
      <c r="D15" s="58"/>
      <c r="E15" s="58"/>
      <c r="F15" s="67"/>
      <c r="G15" s="79">
        <f t="shared" si="2"/>
        <v>0</v>
      </c>
      <c r="H15" s="80">
        <f t="shared" si="0"/>
        <v>0</v>
      </c>
      <c r="I15" s="82"/>
    </row>
    <row r="16" spans="2:10" ht="15" thickBot="1" x14ac:dyDescent="0.35">
      <c r="B16" s="105"/>
      <c r="C16" s="102"/>
      <c r="D16" s="61"/>
      <c r="E16" s="61"/>
      <c r="F16" s="83"/>
      <c r="G16" s="79">
        <f t="shared" si="2"/>
        <v>0</v>
      </c>
      <c r="H16" s="129">
        <f t="shared" si="0"/>
        <v>0</v>
      </c>
      <c r="I16" s="84"/>
    </row>
    <row r="17" spans="3:9" s="21" customFormat="1" ht="18.600000000000001" thickBot="1" x14ac:dyDescent="0.35">
      <c r="C17" s="30" t="s">
        <v>18</v>
      </c>
      <c r="D17" s="41">
        <f>SUM(D6:D16)</f>
        <v>0</v>
      </c>
      <c r="E17" s="42">
        <f>SUM(E6:E16)</f>
        <v>0</v>
      </c>
      <c r="F17" s="42">
        <f>SUM(F6:F16)</f>
        <v>0</v>
      </c>
      <c r="G17" s="43">
        <f>SUM(G6:G16)</f>
        <v>0</v>
      </c>
      <c r="H17" s="44">
        <f>SUM(H6:H16)</f>
        <v>0</v>
      </c>
    </row>
    <row r="18" spans="3:9" ht="39" customHeight="1" thickBot="1" x14ac:dyDescent="0.35">
      <c r="C18" s="36" t="s">
        <v>11</v>
      </c>
      <c r="D18" s="47">
        <f>D17-E17+F17</f>
        <v>0</v>
      </c>
      <c r="F18" s="29" t="s">
        <v>20</v>
      </c>
      <c r="G18" s="34">
        <f>IF(G17=0,0,G17+F17)</f>
        <v>0</v>
      </c>
      <c r="H18" s="36" t="s">
        <v>21</v>
      </c>
      <c r="I18" s="33">
        <f>H17</f>
        <v>0</v>
      </c>
    </row>
  </sheetData>
  <sheetProtection sheet="1" formatColumns="0"/>
  <mergeCells count="1">
    <mergeCell ref="B2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A60C-1B78-4957-B505-C95CD9235FE9}">
  <dimension ref="B1:N21"/>
  <sheetViews>
    <sheetView zoomScale="113" zoomScaleNormal="113" workbookViewId="0">
      <selection activeCell="M25" sqref="M25"/>
    </sheetView>
  </sheetViews>
  <sheetFormatPr defaultColWidth="9.109375" defaultRowHeight="14.4" x14ac:dyDescent="0.3"/>
  <cols>
    <col min="1" max="1" width="2.109375" style="24" customWidth="1"/>
    <col min="2" max="2" width="14.5546875" style="24" customWidth="1"/>
    <col min="3" max="3" width="23" style="24" customWidth="1"/>
    <col min="4" max="4" width="11" style="24" customWidth="1"/>
    <col min="5" max="5" width="10.33203125" style="24" customWidth="1"/>
    <col min="6" max="6" width="12.6640625" style="24" customWidth="1"/>
    <col min="7" max="7" width="12.5546875" style="24" customWidth="1"/>
    <col min="8" max="8" width="4.44140625" style="24" customWidth="1"/>
    <col min="9" max="9" width="14.5546875" style="24" bestFit="1" customWidth="1"/>
    <col min="10" max="10" width="25.88671875" style="24" customWidth="1"/>
    <col min="11" max="11" width="11.109375" style="24" customWidth="1"/>
    <col min="12" max="12" width="8.44140625" style="24" customWidth="1"/>
    <col min="13" max="13" width="15.109375" style="24" customWidth="1"/>
    <col min="14" max="14" width="12.5546875" style="24" bestFit="1" customWidth="1"/>
    <col min="15" max="15" width="3" style="24" customWidth="1"/>
    <col min="16" max="16384" width="9.109375" style="24"/>
  </cols>
  <sheetData>
    <row r="1" spans="2:14" ht="7.5" customHeight="1" thickBot="1" x14ac:dyDescent="0.35"/>
    <row r="2" spans="2:14" x14ac:dyDescent="0.3">
      <c r="B2" s="290" t="s">
        <v>13</v>
      </c>
      <c r="C2" s="291"/>
      <c r="D2" s="291"/>
      <c r="E2" s="291"/>
      <c r="F2" s="291"/>
      <c r="G2" s="292"/>
      <c r="H2" s="219"/>
      <c r="I2" s="290" t="s">
        <v>33</v>
      </c>
      <c r="J2" s="291"/>
      <c r="K2" s="291"/>
      <c r="L2" s="291"/>
      <c r="M2" s="291"/>
      <c r="N2" s="292"/>
    </row>
    <row r="3" spans="2:14" ht="15" thickBot="1" x14ac:dyDescent="0.35">
      <c r="B3" s="293"/>
      <c r="C3" s="294"/>
      <c r="D3" s="294"/>
      <c r="E3" s="294"/>
      <c r="F3" s="294"/>
      <c r="G3" s="295"/>
      <c r="H3" s="219"/>
      <c r="I3" s="293"/>
      <c r="J3" s="294"/>
      <c r="K3" s="294"/>
      <c r="L3" s="294"/>
      <c r="M3" s="294"/>
      <c r="N3" s="295"/>
    </row>
    <row r="4" spans="2:14" ht="8.25" customHeight="1" thickBot="1" x14ac:dyDescent="0.35">
      <c r="D4" s="25"/>
      <c r="E4" s="25"/>
      <c r="F4" s="54"/>
      <c r="G4" s="54"/>
      <c r="H4" s="219"/>
      <c r="K4" s="25"/>
      <c r="L4" s="25"/>
      <c r="M4" s="54"/>
      <c r="N4" s="54"/>
    </row>
    <row r="5" spans="2:14" s="15" customFormat="1" ht="15" thickBot="1" x14ac:dyDescent="0.35">
      <c r="B5" s="6" t="s">
        <v>1</v>
      </c>
      <c r="C5" s="7" t="s">
        <v>12</v>
      </c>
      <c r="D5" s="14" t="s">
        <v>9</v>
      </c>
      <c r="E5" s="14" t="s">
        <v>4</v>
      </c>
      <c r="F5" s="8" t="s">
        <v>5</v>
      </c>
      <c r="G5" s="9" t="s">
        <v>6</v>
      </c>
      <c r="H5" s="220"/>
      <c r="I5" s="6" t="s">
        <v>1</v>
      </c>
      <c r="J5" s="7" t="s">
        <v>12</v>
      </c>
      <c r="K5" s="14" t="s">
        <v>9</v>
      </c>
      <c r="L5" s="14" t="s">
        <v>4</v>
      </c>
      <c r="M5" s="8" t="s">
        <v>14</v>
      </c>
      <c r="N5" s="9" t="s">
        <v>6</v>
      </c>
    </row>
    <row r="6" spans="2:14" x14ac:dyDescent="0.3">
      <c r="B6" s="112"/>
      <c r="C6" s="113"/>
      <c r="D6" s="55"/>
      <c r="E6" s="55"/>
      <c r="F6" s="56">
        <f t="shared" ref="F6:F18" si="0">D6*0.9</f>
        <v>0</v>
      </c>
      <c r="G6" s="57">
        <f t="shared" ref="G6:G18" si="1">D6-F6-E6</f>
        <v>0</v>
      </c>
      <c r="H6" s="219"/>
      <c r="I6" s="112"/>
      <c r="J6" s="113"/>
      <c r="K6" s="55"/>
      <c r="L6" s="55"/>
      <c r="M6" s="56">
        <f>K6*0.1</f>
        <v>0</v>
      </c>
      <c r="N6" s="57">
        <f>K6-M6-L6</f>
        <v>0</v>
      </c>
    </row>
    <row r="7" spans="2:14" x14ac:dyDescent="0.3">
      <c r="B7" s="104"/>
      <c r="C7" s="101"/>
      <c r="D7" s="58"/>
      <c r="E7" s="58"/>
      <c r="F7" s="59">
        <f t="shared" si="0"/>
        <v>0</v>
      </c>
      <c r="G7" s="60">
        <f t="shared" si="1"/>
        <v>0</v>
      </c>
      <c r="H7" s="219"/>
      <c r="I7" s="104"/>
      <c r="J7" s="101"/>
      <c r="K7" s="58"/>
      <c r="L7" s="58"/>
      <c r="M7" s="59">
        <f t="shared" ref="M7:M18" si="2">K7*0.1</f>
        <v>0</v>
      </c>
      <c r="N7" s="60">
        <f>K7-M7-L7</f>
        <v>0</v>
      </c>
    </row>
    <row r="8" spans="2:14" x14ac:dyDescent="0.3">
      <c r="B8" s="104"/>
      <c r="C8" s="101"/>
      <c r="D8" s="58"/>
      <c r="E8" s="58"/>
      <c r="F8" s="59">
        <f t="shared" si="0"/>
        <v>0</v>
      </c>
      <c r="G8" s="60">
        <f t="shared" si="1"/>
        <v>0</v>
      </c>
      <c r="H8" s="219"/>
      <c r="I8" s="104"/>
      <c r="J8" s="101"/>
      <c r="K8" s="58"/>
      <c r="L8" s="58"/>
      <c r="M8" s="59">
        <f t="shared" si="2"/>
        <v>0</v>
      </c>
      <c r="N8" s="60">
        <f t="shared" ref="N8:N18" si="3">K8-M8-L8</f>
        <v>0</v>
      </c>
    </row>
    <row r="9" spans="2:14" x14ac:dyDescent="0.3">
      <c r="B9" s="104"/>
      <c r="C9" s="101"/>
      <c r="D9" s="58"/>
      <c r="E9" s="58"/>
      <c r="F9" s="59">
        <f t="shared" si="0"/>
        <v>0</v>
      </c>
      <c r="G9" s="60">
        <f t="shared" si="1"/>
        <v>0</v>
      </c>
      <c r="H9" s="219"/>
      <c r="I9" s="104"/>
      <c r="J9" s="101"/>
      <c r="K9" s="58"/>
      <c r="L9" s="58"/>
      <c r="M9" s="59">
        <f t="shared" si="2"/>
        <v>0</v>
      </c>
      <c r="N9" s="60">
        <f t="shared" si="3"/>
        <v>0</v>
      </c>
    </row>
    <row r="10" spans="2:14" x14ac:dyDescent="0.3">
      <c r="B10" s="104"/>
      <c r="C10" s="101"/>
      <c r="D10" s="58"/>
      <c r="E10" s="58"/>
      <c r="F10" s="59">
        <f t="shared" si="0"/>
        <v>0</v>
      </c>
      <c r="G10" s="60">
        <f t="shared" si="1"/>
        <v>0</v>
      </c>
      <c r="H10" s="219"/>
      <c r="I10" s="104"/>
      <c r="J10" s="101"/>
      <c r="K10" s="58"/>
      <c r="L10" s="58"/>
      <c r="M10" s="59">
        <f t="shared" si="2"/>
        <v>0</v>
      </c>
      <c r="N10" s="60">
        <f t="shared" si="3"/>
        <v>0</v>
      </c>
    </row>
    <row r="11" spans="2:14" x14ac:dyDescent="0.3">
      <c r="B11" s="104"/>
      <c r="C11" s="101"/>
      <c r="D11" s="58"/>
      <c r="E11" s="58"/>
      <c r="F11" s="59">
        <f t="shared" si="0"/>
        <v>0</v>
      </c>
      <c r="G11" s="60">
        <f t="shared" si="1"/>
        <v>0</v>
      </c>
      <c r="H11" s="219"/>
      <c r="I11" s="104"/>
      <c r="J11" s="101"/>
      <c r="K11" s="58"/>
      <c r="L11" s="58"/>
      <c r="M11" s="59">
        <f t="shared" si="2"/>
        <v>0</v>
      </c>
      <c r="N11" s="60">
        <f t="shared" si="3"/>
        <v>0</v>
      </c>
    </row>
    <row r="12" spans="2:14" x14ac:dyDescent="0.3">
      <c r="B12" s="104"/>
      <c r="C12" s="101"/>
      <c r="D12" s="58"/>
      <c r="E12" s="58"/>
      <c r="F12" s="59">
        <f t="shared" si="0"/>
        <v>0</v>
      </c>
      <c r="G12" s="60">
        <f t="shared" si="1"/>
        <v>0</v>
      </c>
      <c r="H12" s="219"/>
      <c r="I12" s="104"/>
      <c r="J12" s="101"/>
      <c r="K12" s="58"/>
      <c r="L12" s="58"/>
      <c r="M12" s="59">
        <f t="shared" si="2"/>
        <v>0</v>
      </c>
      <c r="N12" s="60">
        <f t="shared" si="3"/>
        <v>0</v>
      </c>
    </row>
    <row r="13" spans="2:14" x14ac:dyDescent="0.3">
      <c r="B13" s="104"/>
      <c r="C13" s="101"/>
      <c r="D13" s="58"/>
      <c r="E13" s="58"/>
      <c r="F13" s="59">
        <f t="shared" si="0"/>
        <v>0</v>
      </c>
      <c r="G13" s="60">
        <f t="shared" si="1"/>
        <v>0</v>
      </c>
      <c r="H13" s="219"/>
      <c r="I13" s="104"/>
      <c r="J13" s="101"/>
      <c r="K13" s="58"/>
      <c r="L13" s="58"/>
      <c r="M13" s="59">
        <f t="shared" si="2"/>
        <v>0</v>
      </c>
      <c r="N13" s="60">
        <f t="shared" si="3"/>
        <v>0</v>
      </c>
    </row>
    <row r="14" spans="2:14" x14ac:dyDescent="0.3">
      <c r="B14" s="104"/>
      <c r="C14" s="101"/>
      <c r="D14" s="58"/>
      <c r="E14" s="58"/>
      <c r="F14" s="59">
        <f t="shared" si="0"/>
        <v>0</v>
      </c>
      <c r="G14" s="60">
        <f t="shared" si="1"/>
        <v>0</v>
      </c>
      <c r="H14" s="219"/>
      <c r="I14" s="104"/>
      <c r="J14" s="101"/>
      <c r="K14" s="58"/>
      <c r="L14" s="58"/>
      <c r="M14" s="59">
        <f t="shared" si="2"/>
        <v>0</v>
      </c>
      <c r="N14" s="60">
        <f t="shared" si="3"/>
        <v>0</v>
      </c>
    </row>
    <row r="15" spans="2:14" x14ac:dyDescent="0.3">
      <c r="B15" s="104"/>
      <c r="C15" s="101"/>
      <c r="D15" s="58"/>
      <c r="E15" s="58"/>
      <c r="F15" s="59">
        <f t="shared" si="0"/>
        <v>0</v>
      </c>
      <c r="G15" s="60">
        <f t="shared" si="1"/>
        <v>0</v>
      </c>
      <c r="H15" s="219"/>
      <c r="I15" s="104"/>
      <c r="J15" s="101"/>
      <c r="K15" s="58"/>
      <c r="L15" s="58"/>
      <c r="M15" s="59">
        <f t="shared" si="2"/>
        <v>0</v>
      </c>
      <c r="N15" s="60">
        <f t="shared" si="3"/>
        <v>0</v>
      </c>
    </row>
    <row r="16" spans="2:14" x14ac:dyDescent="0.3">
      <c r="B16" s="104"/>
      <c r="C16" s="101"/>
      <c r="D16" s="58"/>
      <c r="E16" s="58"/>
      <c r="F16" s="59">
        <f t="shared" si="0"/>
        <v>0</v>
      </c>
      <c r="G16" s="60">
        <f t="shared" si="1"/>
        <v>0</v>
      </c>
      <c r="H16" s="219"/>
      <c r="I16" s="104"/>
      <c r="J16" s="101"/>
      <c r="K16" s="58"/>
      <c r="L16" s="58"/>
      <c r="M16" s="59">
        <f t="shared" si="2"/>
        <v>0</v>
      </c>
      <c r="N16" s="60">
        <f t="shared" si="3"/>
        <v>0</v>
      </c>
    </row>
    <row r="17" spans="2:14" x14ac:dyDescent="0.3">
      <c r="B17" s="104"/>
      <c r="C17" s="101"/>
      <c r="D17" s="58"/>
      <c r="E17" s="58"/>
      <c r="F17" s="59">
        <f t="shared" si="0"/>
        <v>0</v>
      </c>
      <c r="G17" s="60">
        <f t="shared" si="1"/>
        <v>0</v>
      </c>
      <c r="H17" s="219"/>
      <c r="I17" s="104"/>
      <c r="J17" s="101"/>
      <c r="K17" s="58"/>
      <c r="L17" s="58"/>
      <c r="M17" s="59">
        <f t="shared" si="2"/>
        <v>0</v>
      </c>
      <c r="N17" s="60">
        <f t="shared" si="3"/>
        <v>0</v>
      </c>
    </row>
    <row r="18" spans="2:14" ht="15" thickBot="1" x14ac:dyDescent="0.35">
      <c r="B18" s="105"/>
      <c r="C18" s="102"/>
      <c r="D18" s="61"/>
      <c r="E18" s="61"/>
      <c r="F18" s="62">
        <f t="shared" si="0"/>
        <v>0</v>
      </c>
      <c r="G18" s="160">
        <f t="shared" si="1"/>
        <v>0</v>
      </c>
      <c r="H18" s="219"/>
      <c r="I18" s="105"/>
      <c r="J18" s="102"/>
      <c r="K18" s="61"/>
      <c r="L18" s="61"/>
      <c r="M18" s="62">
        <f t="shared" si="2"/>
        <v>0</v>
      </c>
      <c r="N18" s="160">
        <f t="shared" si="3"/>
        <v>0</v>
      </c>
    </row>
    <row r="19" spans="2:14" s="15" customFormat="1" ht="18.600000000000001" thickBot="1" x14ac:dyDescent="0.35">
      <c r="C19" s="30" t="s">
        <v>18</v>
      </c>
      <c r="D19" s="52">
        <f>SUM(D6:D18)</f>
        <v>0</v>
      </c>
      <c r="E19" s="53">
        <f t="shared" ref="E19:G19" si="4">SUM(E6:E18)</f>
        <v>0</v>
      </c>
      <c r="F19" s="161">
        <f t="shared" si="4"/>
        <v>0</v>
      </c>
      <c r="G19" s="162">
        <f t="shared" si="4"/>
        <v>0</v>
      </c>
      <c r="J19" s="30" t="s">
        <v>11</v>
      </c>
      <c r="K19" s="52">
        <f>SUM(K6:K18)</f>
        <v>0</v>
      </c>
      <c r="L19" s="53">
        <f t="shared" ref="L19:N19" si="5">SUM(L6:L18)</f>
        <v>0</v>
      </c>
      <c r="M19" s="161">
        <f t="shared" si="5"/>
        <v>0</v>
      </c>
      <c r="N19" s="162">
        <f t="shared" si="5"/>
        <v>0</v>
      </c>
    </row>
    <row r="20" spans="2:14" ht="18.600000000000001" thickBot="1" x14ac:dyDescent="0.35">
      <c r="C20" s="30" t="s">
        <v>26</v>
      </c>
      <c r="D20" s="45">
        <f>D19-E19</f>
        <v>0</v>
      </c>
      <c r="J20" s="30" t="s">
        <v>26</v>
      </c>
      <c r="K20" s="45">
        <f>K19-L19</f>
        <v>0</v>
      </c>
    </row>
    <row r="21" spans="2:14" ht="24" thickBot="1" x14ac:dyDescent="0.35">
      <c r="F21" s="310" t="s">
        <v>24</v>
      </c>
      <c r="G21" s="311"/>
      <c r="H21" s="312"/>
      <c r="I21" s="214">
        <f>G19+N19</f>
        <v>0</v>
      </c>
    </row>
  </sheetData>
  <sheetProtection sheet="1" formatColumns="0" insertRows="0"/>
  <mergeCells count="3">
    <mergeCell ref="F21:H21"/>
    <mergeCell ref="B2:G3"/>
    <mergeCell ref="I2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3138-DE23-4FFE-8183-854B1B983716}">
  <dimension ref="B1:E19"/>
  <sheetViews>
    <sheetView zoomScale="140" zoomScaleNormal="140" workbookViewId="0">
      <selection activeCell="C6" sqref="C6"/>
    </sheetView>
  </sheetViews>
  <sheetFormatPr defaultColWidth="9.109375" defaultRowHeight="14.4" x14ac:dyDescent="0.3"/>
  <cols>
    <col min="1" max="1" width="3.44140625" style="24" customWidth="1"/>
    <col min="2" max="2" width="33.109375" style="24" customWidth="1"/>
    <col min="3" max="3" width="12" style="54" customWidth="1"/>
    <col min="4" max="16384" width="9.109375" style="24"/>
  </cols>
  <sheetData>
    <row r="1" spans="2:5" ht="6" customHeight="1" thickBot="1" x14ac:dyDescent="0.35"/>
    <row r="2" spans="2:5" ht="15" customHeight="1" x14ac:dyDescent="0.3">
      <c r="B2" s="290" t="s">
        <v>63</v>
      </c>
      <c r="C2" s="292"/>
      <c r="D2" s="260"/>
      <c r="E2" s="260"/>
    </row>
    <row r="3" spans="2:5" ht="15" customHeight="1" thickBot="1" x14ac:dyDescent="0.35">
      <c r="B3" s="293"/>
      <c r="C3" s="295"/>
      <c r="D3" s="260"/>
      <c r="E3" s="260"/>
    </row>
    <row r="4" spans="2:5" ht="7.5" customHeight="1" thickBot="1" x14ac:dyDescent="0.35"/>
    <row r="5" spans="2:5" ht="20.25" customHeight="1" thickBot="1" x14ac:dyDescent="0.35">
      <c r="B5" s="151" t="s">
        <v>3</v>
      </c>
      <c r="C5" s="114" t="s">
        <v>2</v>
      </c>
    </row>
    <row r="6" spans="2:5" x14ac:dyDescent="0.3">
      <c r="B6" s="261"/>
      <c r="C6" s="264"/>
    </row>
    <row r="7" spans="2:5" x14ac:dyDescent="0.3">
      <c r="B7" s="262"/>
      <c r="C7" s="264"/>
    </row>
    <row r="8" spans="2:5" x14ac:dyDescent="0.3">
      <c r="B8" s="262"/>
      <c r="C8" s="264"/>
    </row>
    <row r="9" spans="2:5" x14ac:dyDescent="0.3">
      <c r="B9" s="262"/>
      <c r="C9" s="264"/>
    </row>
    <row r="10" spans="2:5" x14ac:dyDescent="0.3">
      <c r="B10" s="262"/>
      <c r="C10" s="264"/>
    </row>
    <row r="11" spans="2:5" x14ac:dyDescent="0.3">
      <c r="B11" s="262"/>
      <c r="C11" s="264"/>
    </row>
    <row r="12" spans="2:5" x14ac:dyDescent="0.3">
      <c r="B12" s="262"/>
      <c r="C12" s="264"/>
    </row>
    <row r="13" spans="2:5" x14ac:dyDescent="0.3">
      <c r="B13" s="262"/>
      <c r="C13" s="264"/>
    </row>
    <row r="14" spans="2:5" x14ac:dyDescent="0.3">
      <c r="B14" s="262"/>
      <c r="C14" s="264"/>
    </row>
    <row r="15" spans="2:5" x14ac:dyDescent="0.3">
      <c r="B15" s="262"/>
      <c r="C15" s="264"/>
    </row>
    <row r="16" spans="2:5" x14ac:dyDescent="0.3">
      <c r="B16" s="262"/>
      <c r="C16" s="264"/>
    </row>
    <row r="17" spans="2:3" x14ac:dyDescent="0.3">
      <c r="B17" s="262"/>
      <c r="C17" s="264"/>
    </row>
    <row r="18" spans="2:3" ht="15" thickBot="1" x14ac:dyDescent="0.35">
      <c r="B18" s="263"/>
      <c r="C18" s="265"/>
    </row>
    <row r="19" spans="2:3" s="20" customFormat="1" ht="18.600000000000001" thickBot="1" x14ac:dyDescent="0.35">
      <c r="B19" s="16" t="s">
        <v>11</v>
      </c>
      <c r="C19" s="18">
        <f>SUM(C6:C18)</f>
        <v>0</v>
      </c>
    </row>
  </sheetData>
  <mergeCells count="1">
    <mergeCell ref="B2: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11E2-F7A9-424E-BF35-9C1E8CA84292}">
  <sheetPr>
    <tabColor rgb="FF217346"/>
  </sheetPr>
  <dimension ref="B1:M17"/>
  <sheetViews>
    <sheetView tabSelected="1" zoomScale="160" zoomScaleNormal="160" workbookViewId="0">
      <selection activeCell="B2" sqref="B2"/>
    </sheetView>
  </sheetViews>
  <sheetFormatPr defaultColWidth="9.109375" defaultRowHeight="14.4" x14ac:dyDescent="0.3"/>
  <cols>
    <col min="1" max="1" width="0.6640625" style="39" customWidth="1"/>
    <col min="2" max="2" width="18.6640625" style="39" bestFit="1" customWidth="1"/>
    <col min="3" max="3" width="9.5546875" style="39" customWidth="1"/>
    <col min="4" max="4" width="9.88671875" style="39" customWidth="1"/>
    <col min="5" max="5" width="10.33203125" style="39" customWidth="1"/>
    <col min="6" max="6" width="10.5546875" style="46" customWidth="1"/>
    <col min="7" max="7" width="9.88671875" style="46" customWidth="1"/>
    <col min="8" max="8" width="12.44140625" style="39" bestFit="1" customWidth="1"/>
    <col min="9" max="9" width="16.33203125" style="46" bestFit="1" customWidth="1"/>
    <col min="10" max="10" width="7.5546875" style="46" customWidth="1"/>
    <col min="11" max="11" width="11.21875" style="46" customWidth="1"/>
    <col min="12" max="12" width="0.88671875" style="39" customWidth="1"/>
    <col min="13" max="13" width="8.88671875" style="39" customWidth="1"/>
    <col min="14" max="16384" width="9.109375" style="39"/>
  </cols>
  <sheetData>
    <row r="1" spans="2:13" ht="3.75" customHeight="1" thickBot="1" x14ac:dyDescent="0.35">
      <c r="I1" s="130"/>
      <c r="J1" s="130"/>
    </row>
    <row r="2" spans="2:13" ht="42" thickBot="1" x14ac:dyDescent="0.35">
      <c r="B2" s="211" t="s">
        <v>11</v>
      </c>
      <c r="C2" s="4" t="s">
        <v>9</v>
      </c>
      <c r="D2" s="5" t="s">
        <v>4</v>
      </c>
      <c r="E2" s="118" t="s">
        <v>37</v>
      </c>
      <c r="F2" s="276" t="s">
        <v>19</v>
      </c>
      <c r="G2" s="117" t="s">
        <v>36</v>
      </c>
      <c r="H2" s="182" t="s">
        <v>27</v>
      </c>
      <c r="I2" s="114" t="s">
        <v>6</v>
      </c>
      <c r="J2" s="319" t="s">
        <v>25</v>
      </c>
      <c r="K2" s="320"/>
    </row>
    <row r="3" spans="2:13" ht="16.2" thickBot="1" x14ac:dyDescent="0.35">
      <c r="B3" s="98" t="s">
        <v>43</v>
      </c>
      <c r="C3" s="137">
        <f>'Dr. Nacouzi'!D19</f>
        <v>0</v>
      </c>
      <c r="D3" s="49">
        <f>'Dr. Nacouzi'!E19</f>
        <v>0</v>
      </c>
      <c r="E3" s="272">
        <f>'Dr. Nacouzi'!F19</f>
        <v>0</v>
      </c>
      <c r="F3" s="283"/>
      <c r="G3" s="274">
        <f>E3+F3</f>
        <v>0</v>
      </c>
      <c r="H3" s="213"/>
      <c r="I3" s="213"/>
      <c r="J3" s="322">
        <f>'Dr. Nacouzi'!F19</f>
        <v>0</v>
      </c>
      <c r="K3" s="321"/>
      <c r="M3" s="210" t="s">
        <v>34</v>
      </c>
    </row>
    <row r="4" spans="2:13" ht="16.2" thickBot="1" x14ac:dyDescent="0.35">
      <c r="B4" s="208" t="s">
        <v>51</v>
      </c>
      <c r="C4" s="209">
        <f>Dr.Carol!D20</f>
        <v>0</v>
      </c>
      <c r="D4" s="135">
        <f>Dr.Carol!F19</f>
        <v>0</v>
      </c>
      <c r="E4" s="273">
        <f>Dr.Carol!D20</f>
        <v>0</v>
      </c>
      <c r="F4" s="267"/>
      <c r="G4" s="275">
        <f>Dr.Carol!D20</f>
        <v>0</v>
      </c>
      <c r="H4" s="173">
        <f>Dr.Carol!H20</f>
        <v>0</v>
      </c>
      <c r="I4" s="134">
        <f>Dr.Carol!I19</f>
        <v>0</v>
      </c>
      <c r="J4" s="323">
        <f>Dr.Carol!J20</f>
        <v>0</v>
      </c>
      <c r="K4" s="324"/>
      <c r="M4" s="289">
        <f>0</f>
        <v>0</v>
      </c>
    </row>
    <row r="5" spans="2:13" ht="16.2" thickBot="1" x14ac:dyDescent="0.35">
      <c r="B5" s="99" t="s">
        <v>47</v>
      </c>
      <c r="C5" s="138">
        <f>Roula!D17</f>
        <v>0</v>
      </c>
      <c r="D5" s="174">
        <f>Roula!E17</f>
        <v>0</v>
      </c>
      <c r="E5" s="50">
        <f>Roula!D18</f>
        <v>0</v>
      </c>
      <c r="F5" s="277">
        <f>Products!F19</f>
        <v>0</v>
      </c>
      <c r="G5" s="133">
        <f t="shared" ref="G5:G9" si="0">E5+F5</f>
        <v>0</v>
      </c>
      <c r="H5" s="173">
        <f>Roula!G18</f>
        <v>0</v>
      </c>
      <c r="I5" s="134">
        <f>Roula!H17+Products!G19</f>
        <v>0</v>
      </c>
      <c r="J5" s="323">
        <f>Roula!I18</f>
        <v>0</v>
      </c>
      <c r="K5" s="324"/>
    </row>
    <row r="6" spans="2:13" ht="16.2" thickBot="1" x14ac:dyDescent="0.35">
      <c r="B6" s="99" t="s">
        <v>62</v>
      </c>
      <c r="C6" s="138">
        <f>Rewa!D16</f>
        <v>0</v>
      </c>
      <c r="D6" s="50">
        <f>Rewa!E16</f>
        <v>0</v>
      </c>
      <c r="E6" s="131">
        <f>Rewa!D17</f>
        <v>0</v>
      </c>
      <c r="F6" s="283"/>
      <c r="G6" s="279">
        <f>E6</f>
        <v>0</v>
      </c>
      <c r="H6" s="132"/>
      <c r="I6" s="183">
        <f>Rewa!G16</f>
        <v>0</v>
      </c>
      <c r="J6" s="323">
        <f>I6</f>
        <v>0</v>
      </c>
      <c r="K6" s="324"/>
      <c r="M6" s="212" t="s">
        <v>35</v>
      </c>
    </row>
    <row r="7" spans="2:13" ht="16.2" thickBot="1" x14ac:dyDescent="0.35">
      <c r="B7" s="99" t="s">
        <v>29</v>
      </c>
      <c r="C7" s="138">
        <f>Nour!D17</f>
        <v>0</v>
      </c>
      <c r="D7" s="51">
        <f>Nour!F17</f>
        <v>0</v>
      </c>
      <c r="E7" s="131">
        <f>Nour!D18</f>
        <v>0</v>
      </c>
      <c r="F7" s="284"/>
      <c r="G7" s="279">
        <f t="shared" si="0"/>
        <v>0</v>
      </c>
      <c r="H7" s="173">
        <f>Nour!F18</f>
        <v>0</v>
      </c>
      <c r="I7" s="134">
        <f>Nour!H17</f>
        <v>0</v>
      </c>
      <c r="J7" s="323">
        <f>Nour!H18</f>
        <v>0</v>
      </c>
      <c r="K7" s="324"/>
      <c r="M7" s="288">
        <f>M4+K14</f>
        <v>0</v>
      </c>
    </row>
    <row r="8" spans="2:13" ht="16.2" thickBot="1" x14ac:dyDescent="0.35">
      <c r="B8" s="99" t="s">
        <v>15</v>
      </c>
      <c r="C8" s="138">
        <f>Ghinwa!D20</f>
        <v>0</v>
      </c>
      <c r="D8" s="51">
        <f>Ghinwa!E20</f>
        <v>0</v>
      </c>
      <c r="E8" s="50">
        <f>Ghinwa!D21</f>
        <v>0</v>
      </c>
      <c r="F8" s="277">
        <f>Products!K19</f>
        <v>0</v>
      </c>
      <c r="G8" s="133">
        <f t="shared" si="0"/>
        <v>0</v>
      </c>
      <c r="H8" s="173">
        <f>Ghinwa!G21</f>
        <v>0</v>
      </c>
      <c r="I8" s="134">
        <f>Ghinwa!H20+Products!N19</f>
        <v>0</v>
      </c>
      <c r="J8" s="323">
        <f>Ghinwa!I21</f>
        <v>0</v>
      </c>
      <c r="K8" s="324"/>
    </row>
    <row r="9" spans="2:13" ht="16.2" thickBot="1" x14ac:dyDescent="0.35">
      <c r="B9" s="99" t="s">
        <v>44</v>
      </c>
      <c r="C9" s="138">
        <f>Dr.Bahia!D19</f>
        <v>0</v>
      </c>
      <c r="D9" s="51">
        <f>Dr.Bahia!F19</f>
        <v>0</v>
      </c>
      <c r="E9" s="131">
        <f>Dr.Bahia!D20</f>
        <v>0</v>
      </c>
      <c r="F9" s="285"/>
      <c r="G9" s="281">
        <f t="shared" si="0"/>
        <v>0</v>
      </c>
      <c r="H9" s="173">
        <f>Dr.Bahia!H20</f>
        <v>0</v>
      </c>
      <c r="I9" s="134">
        <f>Dr.Bahia!I19</f>
        <v>0</v>
      </c>
      <c r="J9" s="323">
        <f>Dr.Bahia!J20</f>
        <v>0</v>
      </c>
      <c r="K9" s="324"/>
    </row>
    <row r="10" spans="2:13" ht="16.2" thickBot="1" x14ac:dyDescent="0.35">
      <c r="B10" s="99" t="s">
        <v>58</v>
      </c>
      <c r="C10" s="138">
        <f>Hayat!D17</f>
        <v>0</v>
      </c>
      <c r="D10" s="51">
        <f>Hayat!E17</f>
        <v>0</v>
      </c>
      <c r="E10" s="131">
        <v>0</v>
      </c>
      <c r="F10" s="286"/>
      <c r="G10" s="281">
        <f>Hayat!D18</f>
        <v>0</v>
      </c>
      <c r="H10" s="173">
        <f>Hayat!G18</f>
        <v>0</v>
      </c>
      <c r="I10" s="134">
        <f>Hayat!H17</f>
        <v>0</v>
      </c>
      <c r="J10" s="323">
        <f>Hayat!I18</f>
        <v>0</v>
      </c>
      <c r="K10" s="324"/>
    </row>
    <row r="11" spans="2:13" ht="15" customHeight="1" thickBot="1" x14ac:dyDescent="0.35">
      <c r="B11" s="140" t="s">
        <v>40</v>
      </c>
      <c r="C11" s="139">
        <f>Rachelle!D18</f>
        <v>0</v>
      </c>
      <c r="D11" s="135">
        <f>Rachelle!E18</f>
        <v>0</v>
      </c>
      <c r="E11" s="280">
        <f>Rachelle!D19</f>
        <v>0</v>
      </c>
      <c r="F11" s="287"/>
      <c r="G11" s="282">
        <f>Rachelle!D19</f>
        <v>0</v>
      </c>
      <c r="H11" s="173">
        <f>Rachelle!G19</f>
        <v>0</v>
      </c>
      <c r="I11" s="136">
        <f>Rachelle!H18</f>
        <v>0</v>
      </c>
      <c r="J11" s="325">
        <f>Rachelle!I19</f>
        <v>0</v>
      </c>
      <c r="K11" s="326"/>
    </row>
    <row r="12" spans="2:13" ht="15" customHeight="1" thickBot="1" x14ac:dyDescent="0.35">
      <c r="B12" s="268" t="s">
        <v>63</v>
      </c>
      <c r="C12" s="269"/>
      <c r="D12" s="270"/>
      <c r="E12" s="271"/>
      <c r="F12" s="278"/>
      <c r="G12" s="271"/>
      <c r="H12" s="266"/>
      <c r="I12" s="266"/>
      <c r="J12" s="332">
        <f>-Expenses!C19</f>
        <v>0</v>
      </c>
      <c r="K12" s="333"/>
    </row>
    <row r="13" spans="2:13" ht="12" customHeight="1" thickBot="1" x14ac:dyDescent="0.35">
      <c r="B13" s="318" t="s">
        <v>11</v>
      </c>
      <c r="C13" s="314">
        <f>SUM(C3:C11)</f>
        <v>0</v>
      </c>
      <c r="D13" s="314">
        <f>SUM(D3:D11)</f>
        <v>0</v>
      </c>
      <c r="E13" s="314">
        <f>Hayat!D18</f>
        <v>0</v>
      </c>
      <c r="F13" s="314">
        <f>SUM(F3:F11)</f>
        <v>0</v>
      </c>
      <c r="G13" s="314">
        <f>SUM(G3:G11)</f>
        <v>0</v>
      </c>
      <c r="H13" s="316">
        <f>SUM(H3:H11)</f>
        <v>0</v>
      </c>
      <c r="I13" s="316">
        <f>SUM(I3:I11)</f>
        <v>0</v>
      </c>
      <c r="J13" s="329" t="s">
        <v>64</v>
      </c>
      <c r="K13" s="331">
        <f>SUM(J3:J11)</f>
        <v>0</v>
      </c>
    </row>
    <row r="14" spans="2:13" ht="21.6" customHeight="1" thickBot="1" x14ac:dyDescent="0.35">
      <c r="B14" s="313"/>
      <c r="C14" s="315"/>
      <c r="D14" s="315"/>
      <c r="E14" s="315"/>
      <c r="F14" s="315"/>
      <c r="G14" s="315"/>
      <c r="H14" s="317"/>
      <c r="I14" s="317"/>
      <c r="J14" s="330" t="s">
        <v>8</v>
      </c>
      <c r="K14" s="327">
        <f>SUM(J3:K12)</f>
        <v>0</v>
      </c>
    </row>
    <row r="15" spans="2:13" ht="13.8" customHeight="1" thickBot="1" x14ac:dyDescent="0.35">
      <c r="B15" s="46"/>
      <c r="C15" s="46"/>
      <c r="D15" s="46"/>
      <c r="E15" s="46"/>
      <c r="H15" s="46"/>
    </row>
    <row r="16" spans="2:13" ht="15.6" x14ac:dyDescent="0.3">
      <c r="B16" s="119" t="s">
        <v>16</v>
      </c>
      <c r="C16" s="48">
        <f>Products!D19</f>
        <v>0</v>
      </c>
      <c r="D16" s="49">
        <f>Products!E19</f>
        <v>0</v>
      </c>
      <c r="E16" s="125">
        <f>Products!D20</f>
        <v>0</v>
      </c>
      <c r="F16" s="123"/>
      <c r="G16" s="115"/>
      <c r="H16" s="171">
        <f>Products!F19</f>
        <v>0</v>
      </c>
      <c r="I16" s="127">
        <f>Products!G19</f>
        <v>0</v>
      </c>
      <c r="K16" s="328"/>
    </row>
    <row r="17" spans="2:11" ht="16.2" thickBot="1" x14ac:dyDescent="0.35">
      <c r="B17" s="120" t="s">
        <v>17</v>
      </c>
      <c r="C17" s="121">
        <f>Products!K19</f>
        <v>0</v>
      </c>
      <c r="D17" s="122">
        <f>Products!L19</f>
        <v>0</v>
      </c>
      <c r="E17" s="126">
        <f>Products!K20</f>
        <v>0</v>
      </c>
      <c r="F17" s="124"/>
      <c r="G17" s="116"/>
      <c r="H17" s="172">
        <f>Products!M19</f>
        <v>0</v>
      </c>
      <c r="I17" s="128">
        <f>Products!N19</f>
        <v>0</v>
      </c>
      <c r="K17" s="39"/>
    </row>
  </sheetData>
  <sheetProtection sheet="1" objects="1" scenarios="1"/>
  <mergeCells count="19">
    <mergeCell ref="J10:K10"/>
    <mergeCell ref="J11:K11"/>
    <mergeCell ref="J12:K12"/>
    <mergeCell ref="H13:H14"/>
    <mergeCell ref="I13:I14"/>
    <mergeCell ref="J2:K2"/>
    <mergeCell ref="J3:K3"/>
    <mergeCell ref="J4:K4"/>
    <mergeCell ref="J5:K5"/>
    <mergeCell ref="J6:K6"/>
    <mergeCell ref="J7:K7"/>
    <mergeCell ref="J8:K8"/>
    <mergeCell ref="J9:K9"/>
    <mergeCell ref="B13:B14"/>
    <mergeCell ref="C13:C14"/>
    <mergeCell ref="D13:D14"/>
    <mergeCell ref="E13:E14"/>
    <mergeCell ref="F13:F14"/>
    <mergeCell ref="G13:G14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Dr. Nacouzi</vt:lpstr>
      <vt:lpstr>Dr.Carol</vt:lpstr>
      <vt:lpstr>Rachelle</vt:lpstr>
      <vt:lpstr>Rewa</vt:lpstr>
      <vt:lpstr>Roula</vt:lpstr>
      <vt:lpstr>Nour</vt:lpstr>
      <vt:lpstr>Dr.Bahia</vt:lpstr>
      <vt:lpstr>Ghinwa</vt:lpstr>
      <vt:lpstr>Hayat</vt:lpstr>
      <vt:lpstr>Products</vt:lpstr>
      <vt:lpstr>Expenses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2019-12-05T19:12:26Z</dcterms:created>
  <dcterms:modified xsi:type="dcterms:W3CDTF">2026-03-28T09:01:58Z</dcterms:modified>
  <cp:version/>
</cp:coreProperties>
</file>